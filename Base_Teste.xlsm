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9baf409123388c1/Edilson/Trabalho/App GestaoFinanceira/"/>
    </mc:Choice>
  </mc:AlternateContent>
  <xr:revisionPtr revIDLastSave="0" documentId="8_{27421E06-6D1B-4D8D-84C8-F587F60A20BE}" xr6:coauthVersionLast="47" xr6:coauthVersionMax="47" xr10:uidLastSave="{00000000-0000-0000-0000-000000000000}"/>
  <bookViews>
    <workbookView xWindow="-120" yWindow="-120" windowWidth="19440" windowHeight="10440" xr2:uid="{1C852D70-AC86-42C4-ADE9-654A2C9DCC4C}"/>
  </bookViews>
  <sheets>
    <sheet name="EDILSON (CARRO)" sheetId="1" r:id="rId1"/>
  </sheets>
  <calcPr calcId="191029"/>
  <pivotCaches>
    <pivotCache cacheId="0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Y52" i="1" l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E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J16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B15" i="1" s="1"/>
  <c r="AJ14" i="1"/>
  <c r="AF14" i="1"/>
  <c r="AB14" i="1"/>
  <c r="X14" i="1"/>
  <c r="V14" i="1"/>
  <c r="T14" i="1"/>
  <c r="R14" i="1"/>
  <c r="P14" i="1"/>
  <c r="N14" i="1"/>
  <c r="L14" i="1"/>
  <c r="J14" i="1"/>
  <c r="I14" i="1"/>
  <c r="H14" i="1"/>
  <c r="B13" i="1"/>
  <c r="AM12" i="1"/>
  <c r="AM14" i="1" s="1"/>
  <c r="AL12" i="1"/>
  <c r="AL14" i="1" s="1"/>
  <c r="AK12" i="1"/>
  <c r="AK14" i="1" s="1"/>
  <c r="AJ12" i="1"/>
  <c r="AI12" i="1"/>
  <c r="AI14" i="1" s="1"/>
  <c r="AH12" i="1"/>
  <c r="AH14" i="1" s="1"/>
  <c r="AG12" i="1"/>
  <c r="AG14" i="1" s="1"/>
  <c r="AF12" i="1"/>
  <c r="AE12" i="1"/>
  <c r="AE14" i="1" s="1"/>
  <c r="AD12" i="1"/>
  <c r="AD14" i="1" s="1"/>
  <c r="AC12" i="1"/>
  <c r="AC14" i="1" s="1"/>
  <c r="AB12" i="1"/>
  <c r="AA12" i="1"/>
  <c r="AA14" i="1" s="1"/>
  <c r="Z12" i="1"/>
  <c r="Z14" i="1" s="1"/>
  <c r="Y12" i="1"/>
  <c r="Y14" i="1" s="1"/>
  <c r="X12" i="1"/>
  <c r="W12" i="1"/>
  <c r="W14" i="1" s="1"/>
  <c r="V12" i="1"/>
  <c r="U12" i="1"/>
  <c r="U14" i="1" s="1"/>
  <c r="T12" i="1"/>
  <c r="S12" i="1"/>
  <c r="S14" i="1" s="1"/>
  <c r="R12" i="1"/>
  <c r="Q12" i="1"/>
  <c r="Q14" i="1" s="1"/>
  <c r="P12" i="1"/>
  <c r="O12" i="1"/>
  <c r="O14" i="1" s="1"/>
  <c r="N12" i="1"/>
  <c r="M12" i="1"/>
  <c r="M14" i="1" s="1"/>
  <c r="L12" i="1"/>
  <c r="K12" i="1"/>
  <c r="K14" i="1" s="1"/>
  <c r="J12" i="1"/>
  <c r="G12" i="1"/>
  <c r="G14" i="1" s="1"/>
  <c r="F12" i="1"/>
  <c r="F14" i="1" s="1"/>
  <c r="E12" i="1"/>
  <c r="E14" i="1" s="1"/>
  <c r="B11" i="1"/>
  <c r="B10" i="1"/>
  <c r="B9" i="1"/>
  <c r="B8" i="1"/>
  <c r="B7" i="1"/>
  <c r="B6" i="1"/>
  <c r="B5" i="1"/>
  <c r="B4" i="1"/>
  <c r="B3" i="1"/>
  <c r="J2" i="1"/>
  <c r="K16" i="1" s="1"/>
  <c r="B14" i="1" l="1"/>
  <c r="E2" i="1"/>
  <c r="F16" i="1" s="1"/>
  <c r="F2" i="1" s="1"/>
  <c r="G16" i="1" s="1"/>
  <c r="G2" i="1" s="1"/>
  <c r="H16" i="1" s="1"/>
  <c r="H2" i="1" s="1"/>
  <c r="I16" i="1" s="1"/>
  <c r="K2" i="1"/>
  <c r="L16" i="1" s="1"/>
  <c r="L2" i="1" s="1"/>
  <c r="M16" i="1" s="1"/>
  <c r="M2" i="1" s="1"/>
  <c r="N16" i="1" s="1"/>
  <c r="N2" i="1" s="1"/>
  <c r="O16" i="1" s="1"/>
  <c r="O2" i="1" s="1"/>
  <c r="P16" i="1" s="1"/>
  <c r="P2" i="1" s="1"/>
  <c r="Q16" i="1" s="1"/>
  <c r="Q2" i="1" s="1"/>
  <c r="R16" i="1" s="1"/>
  <c r="R2" i="1" s="1"/>
  <c r="S16" i="1" s="1"/>
  <c r="S2" i="1" s="1"/>
  <c r="T16" i="1" s="1"/>
  <c r="T2" i="1" s="1"/>
  <c r="U16" i="1" s="1"/>
  <c r="U2" i="1" s="1"/>
  <c r="V16" i="1" s="1"/>
  <c r="V2" i="1" s="1"/>
  <c r="W16" i="1" s="1"/>
  <c r="W2" i="1" s="1"/>
  <c r="X16" i="1" s="1"/>
  <c r="X2" i="1" s="1"/>
  <c r="Y16" i="1" s="1"/>
  <c r="Y2" i="1" s="1"/>
  <c r="Z16" i="1" s="1"/>
  <c r="Z2" i="1" s="1"/>
  <c r="AA16" i="1" s="1"/>
  <c r="AA2" i="1" s="1"/>
  <c r="AB16" i="1" s="1"/>
  <c r="AB2" i="1" s="1"/>
  <c r="AC16" i="1" s="1"/>
  <c r="AC2" i="1" s="1"/>
  <c r="AD16" i="1" s="1"/>
  <c r="AD2" i="1" s="1"/>
  <c r="AE16" i="1" s="1"/>
  <c r="AE2" i="1" s="1"/>
  <c r="AF16" i="1" s="1"/>
  <c r="AF2" i="1" s="1"/>
  <c r="AG16" i="1" s="1"/>
  <c r="AG2" i="1" s="1"/>
  <c r="AH16" i="1" s="1"/>
  <c r="AH2" i="1" s="1"/>
  <c r="AI16" i="1" s="1"/>
  <c r="AI2" i="1" s="1"/>
  <c r="AJ16" i="1" s="1"/>
  <c r="AJ2" i="1" s="1"/>
  <c r="AK16" i="1" s="1"/>
  <c r="AK2" i="1" s="1"/>
  <c r="AL16" i="1" s="1"/>
  <c r="AL2" i="1" s="1"/>
  <c r="AM16" i="1" s="1"/>
  <c r="AM2" i="1" s="1"/>
  <c r="A1" i="1" s="1"/>
  <c r="B12" i="1"/>
</calcChain>
</file>

<file path=xl/sharedStrings.xml><?xml version="1.0" encoding="utf-8"?>
<sst xmlns="http://schemas.openxmlformats.org/spreadsheetml/2006/main" count="119" uniqueCount="97">
  <si>
    <t>SOBRA / FALTA</t>
  </si>
  <si>
    <t>SALÁRIO</t>
  </si>
  <si>
    <t>VALE</t>
  </si>
  <si>
    <t>CARTÃO ALIMENTAÇÃO</t>
  </si>
  <si>
    <t>PL (1ª Parte)</t>
  </si>
  <si>
    <t/>
  </si>
  <si>
    <t>PL (2ª Parte)</t>
  </si>
  <si>
    <t>BÔNUS</t>
  </si>
  <si>
    <t>13º (1ª Parte)</t>
  </si>
  <si>
    <t>13º (2ª Parte)</t>
  </si>
  <si>
    <t>Férias</t>
  </si>
  <si>
    <t>EXTRA</t>
  </si>
  <si>
    <t>SIMULAÇÃO</t>
  </si>
  <si>
    <t>Total de Entrada Previsto</t>
  </si>
  <si>
    <t>Total de Saída Previsto</t>
  </si>
  <si>
    <t>Débito mês anterior</t>
  </si>
  <si>
    <t>Despesa</t>
  </si>
  <si>
    <t>Total</t>
  </si>
  <si>
    <t>CATEGORIA</t>
  </si>
  <si>
    <t xml:space="preserve">DIA </t>
  </si>
  <si>
    <t>abr/2024</t>
  </si>
  <si>
    <t>mai/2024</t>
  </si>
  <si>
    <t>jun/2024</t>
  </si>
  <si>
    <t>jul/2024</t>
  </si>
  <si>
    <t>ago/2024</t>
  </si>
  <si>
    <t>set/2024</t>
  </si>
  <si>
    <t>out/2024</t>
  </si>
  <si>
    <t>nov/2024</t>
  </si>
  <si>
    <t>dez/2024</t>
  </si>
  <si>
    <t>jan/2025</t>
  </si>
  <si>
    <t>fev/2025</t>
  </si>
  <si>
    <t>mar/2025</t>
  </si>
  <si>
    <t>abr/2025</t>
  </si>
  <si>
    <t>mai/2025</t>
  </si>
  <si>
    <t>jun/2025</t>
  </si>
  <si>
    <t>jul/2025</t>
  </si>
  <si>
    <t>ago/2025</t>
  </si>
  <si>
    <t>set/2025</t>
  </si>
  <si>
    <t>out/2025</t>
  </si>
  <si>
    <t>nov/2025</t>
  </si>
  <si>
    <t>dez/2025</t>
  </si>
  <si>
    <t>jan/26</t>
  </si>
  <si>
    <t>fev/26</t>
  </si>
  <si>
    <t>mar/26</t>
  </si>
  <si>
    <t>abr/26</t>
  </si>
  <si>
    <t>mai/26</t>
  </si>
  <si>
    <t>jun/26</t>
  </si>
  <si>
    <t>jul/26</t>
  </si>
  <si>
    <t>ago/26</t>
  </si>
  <si>
    <t>set/26</t>
  </si>
  <si>
    <t>out/26</t>
  </si>
  <si>
    <t>nov/26</t>
  </si>
  <si>
    <t>dez/26</t>
  </si>
  <si>
    <t>jan/27</t>
  </si>
  <si>
    <t>fev/27</t>
  </si>
  <si>
    <t>Água Noale</t>
  </si>
  <si>
    <t>ESSENCIAL</t>
  </si>
  <si>
    <t>GLIA RIBEIRÃO</t>
  </si>
  <si>
    <t>Cabelo (Edilson / Matheus)</t>
  </si>
  <si>
    <t>CANVA</t>
  </si>
  <si>
    <t>CARRO</t>
  </si>
  <si>
    <t>CURTO PRAZO</t>
  </si>
  <si>
    <t>CARTÃO CAIXA</t>
  </si>
  <si>
    <t>CELULAR EDILSON</t>
  </si>
  <si>
    <t>CELULAR FLÁVIA</t>
  </si>
  <si>
    <t>CHEQUE ESPECIAL CAIXA</t>
  </si>
  <si>
    <t>COMBUSTÍVEL</t>
  </si>
  <si>
    <t>CPFL BALLISTA</t>
  </si>
  <si>
    <t>CPFL NOALE</t>
  </si>
  <si>
    <t>DENTISTA ISABELLA</t>
  </si>
  <si>
    <t>DÍZIMO</t>
  </si>
  <si>
    <t>IGREJA</t>
  </si>
  <si>
    <t>FAMÍLIA</t>
  </si>
  <si>
    <t>FINANCIAMENTO CASA</t>
  </si>
  <si>
    <t>LONGO PRAZO</t>
  </si>
  <si>
    <t>GÁS</t>
  </si>
  <si>
    <t>INTERNET</t>
  </si>
  <si>
    <t xml:space="preserve">IPTU </t>
  </si>
  <si>
    <t>IPVA</t>
  </si>
  <si>
    <t>LIÇÃO EBD</t>
  </si>
  <si>
    <t>LICENCIAMENTO</t>
  </si>
  <si>
    <t>MATERIAL ESCOLAR</t>
  </si>
  <si>
    <t>MERCADO LIVRE</t>
  </si>
  <si>
    <t>MICROSOFT</t>
  </si>
  <si>
    <t>NATAÇÃO</t>
  </si>
  <si>
    <t>Nubank</t>
  </si>
  <si>
    <t>OFERTAS</t>
  </si>
  <si>
    <t>SUPERMERCADO</t>
  </si>
  <si>
    <t>TENDA</t>
  </si>
  <si>
    <t>MULTA OSÉIAS</t>
  </si>
  <si>
    <t>Hudson</t>
  </si>
  <si>
    <t>CASA</t>
  </si>
  <si>
    <t>Rótulos de Linha</t>
  </si>
  <si>
    <t>Soma de Total2</t>
  </si>
  <si>
    <t>EDUCAÇÃO</t>
  </si>
  <si>
    <t>METAS</t>
  </si>
  <si>
    <t>Total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</si>
</sst>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R$&quot;* #,##0.00_-;\-&quot;R$&quot;* #,##0.00_-;_-&quot;R$&quot;* &quot;-&quot;??_-;_-@_-"/>
    <numFmt numFmtId="165" formatCode="mmm/yyyy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92D050"/>
      <name val="Calibri"/>
      <family val="2"/>
      <scheme val="minor"/>
    </font>
    <font>
      <b/>
      <sz val="16"/>
      <color theme="0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u/>
      <sz val="11"/>
      <color rgb="FF000000"/>
      <name val="Calibri"/>
      <family val="2"/>
    </font>
    <font>
      <u/>
      <sz val="11"/>
      <color theme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</fills>
  <borders count="22">
    <border>
      <left/>
      <right/>
      <top/>
      <bottom/>
      <diagonal/>
    </border>
    <border>
      <left/>
      <right style="thick">
        <color rgb="FF002060"/>
      </right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auto="1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09">
    <xf numFmtId="0" fontId="0" fillId="0" borderId="0" xfId="0"/>
    <xf numFmtId="164" fontId="6" fillId="2" borderId="0" xfId="0" applyNumberFormat="1" applyFont="1" applyFill="1" applyAlignment="1">
      <alignment vertical="center"/>
    </xf>
    <xf numFmtId="164" fontId="7" fillId="2" borderId="1" xfId="0" applyNumberFormat="1" applyFont="1" applyFill="1" applyBorder="1" applyAlignment="1">
      <alignment vertical="center"/>
    </xf>
    <xf numFmtId="164" fontId="8" fillId="2" borderId="2" xfId="0" applyNumberFormat="1" applyFont="1" applyFill="1" applyBorder="1" applyAlignment="1">
      <alignment horizontal="center" vertical="center"/>
    </xf>
    <xf numFmtId="165" fontId="8" fillId="2" borderId="3" xfId="0" applyNumberFormat="1" applyFont="1" applyFill="1" applyBorder="1" applyAlignment="1">
      <alignment vertical="center"/>
    </xf>
    <xf numFmtId="165" fontId="9" fillId="3" borderId="3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1" xfId="0" applyFont="1" applyBorder="1" applyAlignment="1">
      <alignment vertical="center"/>
    </xf>
    <xf numFmtId="164" fontId="0" fillId="4" borderId="4" xfId="1" applyFont="1" applyFill="1" applyBorder="1" applyAlignment="1">
      <alignment vertical="center"/>
    </xf>
    <xf numFmtId="164" fontId="0" fillId="4" borderId="4" xfId="1" applyFont="1" applyFill="1" applyBorder="1" applyAlignment="1">
      <alignment horizontal="center" vertical="center"/>
    </xf>
    <xf numFmtId="164" fontId="0" fillId="0" borderId="4" xfId="1" applyFont="1" applyBorder="1" applyAlignment="1">
      <alignment vertical="center"/>
    </xf>
    <xf numFmtId="164" fontId="11" fillId="5" borderId="5" xfId="1" applyFont="1" applyFill="1" applyBorder="1"/>
    <xf numFmtId="0" fontId="12" fillId="0" borderId="5" xfId="0" applyFont="1" applyBorder="1" applyAlignment="1">
      <alignment vertical="center"/>
    </xf>
    <xf numFmtId="164" fontId="13" fillId="0" borderId="5" xfId="0" applyNumberFormat="1" applyFont="1" applyBorder="1" applyAlignment="1">
      <alignment vertical="center"/>
    </xf>
    <xf numFmtId="164" fontId="11" fillId="4" borderId="5" xfId="1" applyFont="1" applyFill="1" applyBorder="1" applyAlignment="1">
      <alignment vertical="center"/>
    </xf>
    <xf numFmtId="164" fontId="11" fillId="4" borderId="5" xfId="1" applyFont="1" applyFill="1" applyBorder="1" applyAlignment="1">
      <alignment horizontal="center" vertical="center"/>
    </xf>
    <xf numFmtId="164" fontId="11" fillId="0" borderId="5" xfId="1" applyFont="1" applyFill="1" applyBorder="1" applyAlignment="1">
      <alignment vertical="center"/>
    </xf>
    <xf numFmtId="164" fontId="11" fillId="6" borderId="5" xfId="1" applyFont="1" applyFill="1" applyBorder="1"/>
    <xf numFmtId="164" fontId="11" fillId="0" borderId="0" xfId="1" applyFont="1"/>
    <xf numFmtId="164" fontId="11" fillId="5" borderId="5" xfId="1" applyFont="1" applyFill="1" applyBorder="1" applyAlignment="1">
      <alignment vertical="center"/>
    </xf>
    <xf numFmtId="0" fontId="11" fillId="0" borderId="0" xfId="0" applyFont="1"/>
    <xf numFmtId="164" fontId="11" fillId="7" borderId="5" xfId="1" applyFont="1" applyFill="1" applyBorder="1" applyAlignment="1">
      <alignment vertical="center"/>
    </xf>
    <xf numFmtId="164" fontId="11" fillId="8" borderId="5" xfId="1" applyFont="1" applyFill="1" applyBorder="1" applyAlignment="1">
      <alignment vertical="center"/>
    </xf>
    <xf numFmtId="0" fontId="11" fillId="0" borderId="5" xfId="0" applyFont="1" applyBorder="1"/>
    <xf numFmtId="0" fontId="3" fillId="0" borderId="5" xfId="0" applyFont="1" applyBorder="1"/>
    <xf numFmtId="0" fontId="11" fillId="9" borderId="5" xfId="0" applyFont="1" applyFill="1" applyBorder="1"/>
    <xf numFmtId="0" fontId="11" fillId="0" borderId="6" xfId="0" applyFont="1" applyBorder="1"/>
    <xf numFmtId="0" fontId="11" fillId="0" borderId="7" xfId="0" applyFont="1" applyBorder="1"/>
    <xf numFmtId="0" fontId="11" fillId="0" borderId="8" xfId="0" applyFont="1" applyBorder="1"/>
    <xf numFmtId="4" fontId="11" fillId="0" borderId="3" xfId="0" applyNumberFormat="1" applyFont="1" applyBorder="1"/>
    <xf numFmtId="4" fontId="11" fillId="0" borderId="9" xfId="0" applyNumberFormat="1" applyFont="1" applyBorder="1"/>
    <xf numFmtId="4" fontId="11" fillId="0" borderId="5" xfId="0" applyNumberFormat="1" applyFont="1" applyBorder="1"/>
    <xf numFmtId="4" fontId="11" fillId="0" borderId="10" xfId="0" applyNumberFormat="1" applyFont="1" applyBorder="1"/>
    <xf numFmtId="0" fontId="14" fillId="10" borderId="6" xfId="0" applyFont="1" applyFill="1" applyBorder="1" applyAlignment="1">
      <alignment vertical="center"/>
    </xf>
    <xf numFmtId="164" fontId="13" fillId="10" borderId="6" xfId="0" applyNumberFormat="1" applyFont="1" applyFill="1" applyBorder="1" applyAlignment="1">
      <alignment vertical="center"/>
    </xf>
    <xf numFmtId="164" fontId="11" fillId="4" borderId="6" xfId="1" applyFont="1" applyFill="1" applyBorder="1" applyAlignment="1">
      <alignment vertical="center"/>
    </xf>
    <xf numFmtId="164" fontId="11" fillId="4" borderId="6" xfId="1" applyFont="1" applyFill="1" applyBorder="1" applyAlignment="1">
      <alignment horizontal="center" vertical="center"/>
    </xf>
    <xf numFmtId="164" fontId="11" fillId="10" borderId="6" xfId="1" applyFont="1" applyFill="1" applyBorder="1"/>
    <xf numFmtId="164" fontId="11" fillId="5" borderId="6" xfId="1" applyFont="1" applyFill="1" applyBorder="1"/>
    <xf numFmtId="0" fontId="8" fillId="11" borderId="11" xfId="0" applyFont="1" applyFill="1" applyBorder="1" applyAlignment="1">
      <alignment vertical="center"/>
    </xf>
    <xf numFmtId="164" fontId="5" fillId="11" borderId="11" xfId="1" applyFont="1" applyFill="1" applyBorder="1"/>
    <xf numFmtId="164" fontId="5" fillId="11" borderId="11" xfId="1" applyFont="1" applyFill="1" applyBorder="1" applyAlignment="1">
      <alignment vertical="center"/>
    </xf>
    <xf numFmtId="164" fontId="5" fillId="11" borderId="11" xfId="1" applyFont="1" applyFill="1" applyBorder="1" applyAlignment="1">
      <alignment horizontal="center" vertical="center"/>
    </xf>
    <xf numFmtId="164" fontId="3" fillId="3" borderId="11" xfId="1" applyFont="1" applyFill="1" applyBorder="1"/>
    <xf numFmtId="0" fontId="4" fillId="12" borderId="11" xfId="0" applyFont="1" applyFill="1" applyBorder="1" applyAlignment="1">
      <alignment horizontal="left" vertical="center"/>
    </xf>
    <xf numFmtId="164" fontId="4" fillId="12" borderId="11" xfId="0" applyNumberFormat="1" applyFont="1" applyFill="1" applyBorder="1" applyAlignment="1">
      <alignment horizontal="center" vertical="center"/>
    </xf>
    <xf numFmtId="164" fontId="4" fillId="12" borderId="11" xfId="1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left" vertical="center"/>
    </xf>
    <xf numFmtId="164" fontId="2" fillId="13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left" vertical="center"/>
    </xf>
    <xf numFmtId="164" fontId="15" fillId="14" borderId="11" xfId="0" applyNumberFormat="1" applyFont="1" applyFill="1" applyBorder="1" applyAlignment="1">
      <alignment horizontal="center" vertical="center"/>
    </xf>
    <xf numFmtId="164" fontId="15" fillId="14" borderId="11" xfId="1" applyFont="1" applyFill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164" fontId="15" fillId="0" borderId="0" xfId="0" applyNumberFormat="1" applyFont="1" applyAlignment="1">
      <alignment horizontal="center" vertical="center"/>
    </xf>
    <xf numFmtId="164" fontId="15" fillId="0" borderId="12" xfId="1" applyFont="1" applyFill="1" applyBorder="1" applyAlignment="1">
      <alignment horizontal="center" vertical="center"/>
    </xf>
    <xf numFmtId="164" fontId="15" fillId="0" borderId="13" xfId="1" applyFont="1" applyFill="1" applyBorder="1" applyAlignment="1">
      <alignment horizontal="center" vertical="center"/>
    </xf>
    <xf numFmtId="164" fontId="15" fillId="0" borderId="0" xfId="1" applyFont="1" applyFill="1" applyAlignment="1">
      <alignment horizontal="center" vertical="center"/>
    </xf>
    <xf numFmtId="0" fontId="0" fillId="2" borderId="0" xfId="0" applyFill="1" applyAlignment="1">
      <alignment vertical="center"/>
    </xf>
    <xf numFmtId="17" fontId="16" fillId="2" borderId="14" xfId="0" applyNumberFormat="1" applyFont="1" applyFill="1" applyBorder="1" applyAlignment="1">
      <alignment vertical="center" wrapText="1"/>
    </xf>
    <xf numFmtId="17" fontId="16" fillId="2" borderId="15" xfId="0" applyNumberFormat="1" applyFont="1" applyFill="1" applyBorder="1" applyAlignment="1">
      <alignment horizontal="center" vertical="center" wrapText="1"/>
    </xf>
    <xf numFmtId="165" fontId="8" fillId="2" borderId="16" xfId="0" applyNumberFormat="1" applyFont="1" applyFill="1" applyBorder="1" applyAlignment="1">
      <alignment vertical="center"/>
    </xf>
    <xf numFmtId="165" fontId="8" fillId="2" borderId="4" xfId="0" applyNumberFormat="1" applyFont="1" applyFill="1" applyBorder="1" applyAlignment="1">
      <alignment vertical="center"/>
    </xf>
    <xf numFmtId="17" fontId="8" fillId="2" borderId="4" xfId="0" applyNumberFormat="1" applyFont="1" applyFill="1" applyBorder="1" applyAlignment="1">
      <alignment vertical="center"/>
    </xf>
    <xf numFmtId="0" fontId="17" fillId="0" borderId="8" xfId="0" applyFont="1" applyBorder="1" applyAlignment="1">
      <alignment vertical="center"/>
    </xf>
    <xf numFmtId="164" fontId="1" fillId="0" borderId="17" xfId="2" applyNumberFormat="1" applyFont="1" applyFill="1" applyBorder="1" applyAlignment="1">
      <alignment vertical="center"/>
    </xf>
    <xf numFmtId="2" fontId="1" fillId="0" borderId="14" xfId="2" applyNumberFormat="1" applyFont="1" applyFill="1" applyBorder="1" applyAlignment="1">
      <alignment horizontal="left" vertical="center"/>
    </xf>
    <xf numFmtId="1" fontId="1" fillId="0" borderId="15" xfId="1" applyNumberFormat="1" applyFont="1" applyFill="1" applyBorder="1" applyAlignment="1">
      <alignment horizontal="center" vertical="center"/>
    </xf>
    <xf numFmtId="2" fontId="1" fillId="0" borderId="8" xfId="1" applyNumberFormat="1" applyFont="1" applyFill="1" applyBorder="1" applyAlignment="1">
      <alignment vertical="center"/>
    </xf>
    <xf numFmtId="2" fontId="0" fillId="0" borderId="8" xfId="2" applyNumberFormat="1" applyFont="1" applyFill="1" applyBorder="1" applyAlignment="1">
      <alignment vertical="center"/>
    </xf>
    <xf numFmtId="2" fontId="1" fillId="0" borderId="11" xfId="1" applyNumberFormat="1" applyFont="1" applyFill="1" applyBorder="1" applyAlignment="1">
      <alignment vertical="center"/>
    </xf>
    <xf numFmtId="2" fontId="0" fillId="0" borderId="18" xfId="2" applyNumberFormat="1" applyFont="1" applyFill="1" applyBorder="1" applyAlignment="1">
      <alignment vertical="center"/>
    </xf>
    <xf numFmtId="2" fontId="1" fillId="0" borderId="8" xfId="2" applyNumberFormat="1" applyFont="1" applyFill="1" applyBorder="1" applyAlignment="1">
      <alignment vertical="center"/>
    </xf>
    <xf numFmtId="2" fontId="1" fillId="0" borderId="17" xfId="1" applyNumberFormat="1" applyFont="1" applyFill="1" applyBorder="1" applyAlignment="1">
      <alignment vertical="center"/>
    </xf>
    <xf numFmtId="2" fontId="19" fillId="0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2" fontId="0" fillId="0" borderId="14" xfId="2" applyNumberFormat="1" applyFont="1" applyFill="1" applyBorder="1" applyAlignment="1">
      <alignment horizontal="left" vertical="center"/>
    </xf>
    <xf numFmtId="1" fontId="0" fillId="0" borderId="15" xfId="1" applyNumberFormat="1" applyFont="1" applyFill="1" applyBorder="1" applyAlignment="1">
      <alignment horizontal="center" vertical="center"/>
    </xf>
    <xf numFmtId="2" fontId="0" fillId="0" borderId="17" xfId="2" applyNumberFormat="1" applyFont="1" applyFill="1" applyBorder="1" applyAlignment="1">
      <alignment vertical="center"/>
    </xf>
    <xf numFmtId="164" fontId="1" fillId="3" borderId="17" xfId="2" applyNumberFormat="1" applyFont="1" applyFill="1" applyBorder="1" applyAlignment="1">
      <alignment vertical="center"/>
    </xf>
    <xf numFmtId="2" fontId="1" fillId="3" borderId="14" xfId="2" applyNumberFormat="1" applyFont="1" applyFill="1" applyBorder="1" applyAlignment="1">
      <alignment horizontal="left" vertical="center"/>
    </xf>
    <xf numFmtId="1" fontId="1" fillId="3" borderId="15" xfId="1" applyNumberFormat="1" applyFont="1" applyFill="1" applyBorder="1" applyAlignment="1">
      <alignment horizontal="center" vertical="center"/>
    </xf>
    <xf numFmtId="2" fontId="0" fillId="3" borderId="17" xfId="2" applyNumberFormat="1" applyFont="1" applyFill="1" applyBorder="1" applyAlignment="1">
      <alignment vertical="center"/>
    </xf>
    <xf numFmtId="2" fontId="1" fillId="3" borderId="8" xfId="2" applyNumberFormat="1" applyFont="1" applyFill="1" applyBorder="1" applyAlignment="1">
      <alignment vertical="center"/>
    </xf>
    <xf numFmtId="2" fontId="0" fillId="3" borderId="8" xfId="2" applyNumberFormat="1" applyFont="1" applyFill="1" applyBorder="1" applyAlignment="1">
      <alignment vertical="center"/>
    </xf>
    <xf numFmtId="2" fontId="19" fillId="3" borderId="8" xfId="2" applyNumberFormat="1" applyFont="1" applyFill="1" applyBorder="1" applyAlignment="1">
      <alignment vertical="center"/>
    </xf>
    <xf numFmtId="2" fontId="1" fillId="0" borderId="17" xfId="2" applyNumberFormat="1" applyFont="1" applyFill="1" applyBorder="1" applyAlignment="1">
      <alignment vertical="center"/>
    </xf>
    <xf numFmtId="2" fontId="1" fillId="0" borderId="15" xfId="2" applyNumberFormat="1" applyFont="1" applyFill="1" applyBorder="1" applyAlignment="1">
      <alignment horizontal="center" vertical="center"/>
    </xf>
    <xf numFmtId="2" fontId="1" fillId="3" borderId="8" xfId="1" applyNumberFormat="1" applyFont="1" applyFill="1" applyBorder="1" applyAlignment="1">
      <alignment vertical="center"/>
    </xf>
    <xf numFmtId="164" fontId="17" fillId="0" borderId="17" xfId="2" applyNumberFormat="1" applyFont="1" applyFill="1" applyBorder="1" applyAlignment="1">
      <alignment vertical="center"/>
    </xf>
    <xf numFmtId="2" fontId="17" fillId="0" borderId="14" xfId="2" applyNumberFormat="1" applyFont="1" applyFill="1" applyBorder="1" applyAlignment="1">
      <alignment horizontal="left" vertical="center"/>
    </xf>
    <xf numFmtId="1" fontId="17" fillId="0" borderId="15" xfId="1" applyNumberFormat="1" applyFont="1" applyFill="1" applyBorder="1" applyAlignment="1">
      <alignment horizontal="center" vertical="center"/>
    </xf>
    <xf numFmtId="2" fontId="17" fillId="0" borderId="17" xfId="2" applyNumberFormat="1" applyFont="1" applyFill="1" applyBorder="1" applyAlignment="1">
      <alignment vertical="center"/>
    </xf>
    <xf numFmtId="2" fontId="17" fillId="0" borderId="8" xfId="2" applyNumberFormat="1" applyFont="1" applyFill="1" applyBorder="1" applyAlignment="1">
      <alignment vertical="center"/>
    </xf>
    <xf numFmtId="2" fontId="20" fillId="0" borderId="8" xfId="2" applyNumberFormat="1" applyFont="1" applyFill="1" applyBorder="1" applyAlignment="1">
      <alignment vertical="center"/>
    </xf>
    <xf numFmtId="0" fontId="17" fillId="0" borderId="0" xfId="0" applyFont="1"/>
    <xf numFmtId="164" fontId="11" fillId="0" borderId="8" xfId="1" applyFont="1" applyFill="1" applyBorder="1" applyAlignment="1">
      <alignment vertical="center"/>
    </xf>
    <xf numFmtId="2" fontId="0" fillId="15" borderId="8" xfId="2" applyNumberFormat="1" applyFont="1" applyFill="1" applyBorder="1" applyAlignment="1">
      <alignment vertical="center"/>
    </xf>
    <xf numFmtId="164" fontId="0" fillId="0" borderId="17" xfId="2" applyNumberFormat="1" applyFont="1" applyFill="1" applyBorder="1" applyAlignment="1">
      <alignment vertical="center"/>
    </xf>
    <xf numFmtId="1" fontId="0" fillId="0" borderId="15" xfId="3" applyNumberFormat="1" applyFont="1" applyFill="1" applyBorder="1" applyAlignment="1">
      <alignment horizontal="center" vertical="center"/>
    </xf>
    <xf numFmtId="2" fontId="0" fillId="0" borderId="19" xfId="2" applyNumberFormat="1" applyFont="1" applyFill="1" applyBorder="1" applyAlignment="1">
      <alignment vertical="center"/>
    </xf>
    <xf numFmtId="2" fontId="19" fillId="0" borderId="19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2" fontId="0" fillId="0" borderId="20" xfId="0" applyNumberFormat="1" applyBorder="1" applyAlignment="1">
      <alignment vertical="center"/>
    </xf>
    <xf numFmtId="2" fontId="0" fillId="0" borderId="21" xfId="0" applyNumberFormat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0" fontId="0" fillId="0" borderId="0" xfId="0" applyNumberFormat="1" applyAlignment="1">
      <alignment horizontal="center"/>
    </xf>
  </cellXfs>
  <cellStyles count="4">
    <cellStyle name="Hiperlink" xfId="2" builtinId="8"/>
    <cellStyle name="Hiperlink Visitado" xfId="3" builtinId="9"/>
    <cellStyle name="Moeda" xfId="1" builtinId="4"/>
    <cellStyle name="Normal" xfId="0" builtinId="0"/>
  </cellStyles>
  <dxfs count="88">
    <dxf>
      <font>
        <b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thin">
          <color indexed="64"/>
        </top>
        <bottom style="thick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thin">
          <color indexed="64"/>
        </top>
        <bottom style="thick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R$&quot;* #,##0.00_-;\-&quot;R$&quot;* #,##0.00_-;_-&quot;R$&quot;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&quot;R$&quot;* #,##0.00_-;\-&quot;R$&quot;* #,##0.00_-;_-&quot;R$&quot;* &quot;-&quot;??_-;_-@_-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</dxf>
    <dxf>
      <numFmt numFmtId="22" formatCode="mmm/yy"/>
      <alignment vertical="center" textRotation="0" wrapText="0" indent="0" justifyLastLine="0" shrinkToFit="0" readingOrder="0"/>
    </dxf>
    <dxf>
      <alignment horizontal="center"/>
    </dxf>
    <dxf>
      <alignment horizontal="center"/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20728066739372825"/>
              <c:y val="-8.79629629629629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283153869348711"/>
                  <c:h val="0.17212962962962963"/>
                </c:manualLayout>
              </c15:layout>
            </c:ext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14912278229764628"/>
              <c:y val="-9.259259259259260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009393561089616"/>
                  <c:h val="0.17212962962962963"/>
                </c:manualLayout>
              </c15:layout>
            </c:ext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26842100813576325"/>
              <c:y val="5.55555555555555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89468315048769"/>
                  <c:h val="0.17212962962962963"/>
                </c:manualLayout>
              </c15:layout>
            </c:ext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20728066739372825"/>
              <c:y val="-8.79629629629629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283153869348711"/>
                  <c:h val="0.17212962962962963"/>
                </c:manualLayout>
              </c15:layout>
            </c:ext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26842100813576325"/>
              <c:y val="5.55555555555555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89468315048769"/>
                  <c:h val="0.17212962962962963"/>
                </c:manualLayout>
              </c15:layout>
            </c:ext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14912278229764628"/>
              <c:y val="-9.259259259259260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009393561089616"/>
                  <c:h val="0.17212962962962963"/>
                </c:manualLayout>
              </c15:layout>
            </c:ext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20728066739372825"/>
              <c:y val="-8.79629629629629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283153869348711"/>
                  <c:h val="0.17212962962962963"/>
                </c:manualLayout>
              </c15:layout>
            </c:ext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26842100813576325"/>
              <c:y val="5.55555555555555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89468315048769"/>
                  <c:h val="0.17212962962962963"/>
                </c:manualLayout>
              </c15:layout>
            </c:ext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14912278229764628"/>
              <c:y val="-9.259259259259260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009393561089616"/>
                  <c:h val="0.17212962962962963"/>
                </c:manualLayout>
              </c15:layout>
            </c:ext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20728066739372825"/>
              <c:y val="-8.79629629629629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283153869348711"/>
                  <c:h val="0.17212962962962963"/>
                </c:manualLayout>
              </c15:layout>
            </c:ext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26842100813576325"/>
              <c:y val="5.55555555555555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89468315048769"/>
                  <c:h val="0.17212962962962963"/>
                </c:manualLayout>
              </c15:layout>
            </c:ext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14912278229764628"/>
              <c:y val="-9.259259259259260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009393561089616"/>
                  <c:h val="0.17212962962962963"/>
                </c:manualLayout>
              </c15:layout>
            </c:ext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20728066739372825"/>
              <c:y val="-8.79629629629629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283153869348711"/>
                  <c:h val="0.17212962962962963"/>
                </c:manualLayout>
              </c15:layout>
            </c:ext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26842100813576325"/>
              <c:y val="5.55555555555555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89468315048769"/>
                  <c:h val="0.17212962962962963"/>
                </c:manualLayout>
              </c15:layout>
            </c:ext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14912278229764628"/>
              <c:y val="-9.259259259259260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009393561089616"/>
                  <c:h val="0.17212962962962963"/>
                </c:manualLayout>
              </c15:layout>
            </c:ext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20728066739372825"/>
              <c:y val="-8.79629629629629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283153869348711"/>
                  <c:h val="0.17212962962962963"/>
                </c:manualLayout>
              </c15:layout>
            </c:ext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26842100813576325"/>
              <c:y val="5.55555555555555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89468315048769"/>
                  <c:h val="0.17212962962962963"/>
                </c:manualLayout>
              </c15:layout>
            </c:ext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14912278229764628"/>
              <c:y val="-9.259259259259260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009393561089616"/>
                  <c:h val="0.17212962962962963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688596874386483"/>
          <c:y val="0.11342592592592593"/>
          <c:w val="0.4980700928741385"/>
          <c:h val="0.77314814814814814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93E-4BF9-8836-17F18FF4385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93E-4BF9-8836-17F18FF4385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93E-4BF9-8836-17F18FF43859}"/>
              </c:ext>
            </c:extLst>
          </c:dPt>
          <c:dLbls>
            <c:dLbl>
              <c:idx val="0"/>
              <c:layout>
                <c:manualLayout>
                  <c:x val="0.20728066739372825"/>
                  <c:y val="-8.796296296296296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283153869348711"/>
                      <c:h val="0.1721296296296296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93E-4BF9-8836-17F18FF43859}"/>
                </c:ext>
              </c:extLst>
            </c:dLbl>
            <c:dLbl>
              <c:idx val="1"/>
              <c:layout>
                <c:manualLayout>
                  <c:x val="0.26842100813576325"/>
                  <c:y val="5.555555555555555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89468315048769"/>
                      <c:h val="0.1721296296296296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93E-4BF9-8836-17F18FF43859}"/>
                </c:ext>
              </c:extLst>
            </c:dLbl>
            <c:dLbl>
              <c:idx val="2"/>
              <c:layout>
                <c:manualLayout>
                  <c:x val="-0.14912278229764628"/>
                  <c:y val="-9.259259259259260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009393561089616"/>
                      <c:h val="0.1721296296296296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93E-4BF9-8836-17F18FF438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EDUCAÇÃO</c:v>
              </c:pt>
              <c:pt idx="1">
                <c:v>ESSENCIAL</c:v>
              </c:pt>
              <c:pt idx="2">
                <c:v>METAS</c:v>
              </c:pt>
            </c:strLit>
          </c:cat>
          <c:val>
            <c:numLit>
              <c:formatCode>0.00%</c:formatCode>
              <c:ptCount val="3"/>
              <c:pt idx="0">
                <c:v>6.4835719665167759E-3</c:v>
              </c:pt>
              <c:pt idx="1">
                <c:v>0.86744697312899033</c:v>
              </c:pt>
              <c:pt idx="2">
                <c:v>0.12606945490449287</c:v>
              </c:pt>
            </c:numLit>
          </c:val>
          <c:extLst>
            <c:ext xmlns:c16="http://schemas.microsoft.com/office/drawing/2014/chart" uri="{C3380CC4-5D6E-409C-BE32-E72D297353CC}">
              <c16:uniqueId val="{00000006-893E-4BF9-8836-17F18FF4385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10"/>
        <c:holeSize val="53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53</xdr:row>
      <xdr:rowOff>135591</xdr:rowOff>
    </xdr:from>
    <xdr:to>
      <xdr:col>4</xdr:col>
      <xdr:colOff>0</xdr:colOff>
      <xdr:row>68</xdr:row>
      <xdr:rowOff>21291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582ED97-5D24-47E6-BF22-9CD3205AE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09BAF409123388C1/Edilson/Contas%20Edilson%202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mília Cruz" refreshedDate="44571.714788541663" createdVersion="6" refreshedVersion="6" minRefreshableVersion="3" recordCount="32" xr:uid="{F81776C7-C34E-4E77-BA0E-AA108CC9D848}">
  <cacheSource type="worksheet">
    <worksheetSource name="Tabela" r:id="rId2"/>
  </cacheSource>
  <cacheFields count="28">
    <cacheField name="Despesa" numFmtId="0">
      <sharedItems count="32">
        <s v="QUITAR 1º CONSIGNADO"/>
        <s v="CARTÃO BRADESCO"/>
        <s v="Cartão Casas Bahia"/>
        <s v="Cheque Especial"/>
        <s v="Pernas Flávia "/>
        <s v="Montreal"/>
        <s v="Pós (Edilson)"/>
        <s v="IPVA"/>
        <s v="Luz Atrasada"/>
        <s v="Supermercado"/>
        <s v="Flávia"/>
        <s v="Combustível"/>
        <s v="4 Aniversários"/>
        <s v="Cabelo (Edilson)"/>
        <s v="Fim de Ano"/>
        <s v="Implante Manutenção"/>
        <s v="Neuropsicologo (Isabella ) "/>
        <s v="Luz"/>
        <s v="Material Escolar"/>
        <s v="Água"/>
        <s v="Gás"/>
        <s v="Internet"/>
        <s v="Celular Flávia"/>
        <s v="Celular Edilson"/>
        <s v="Psicopedagoga (Ester)"/>
        <s v="Dízimo"/>
        <s v="Ofertas"/>
        <s v="PARCELAS ENTRADA CASA"/>
        <s v="TAXA EVOLUÇÃO OBRA"/>
        <s v="FINANCIAMENTO CASA"/>
        <s v="RESERVA DE EMERGÊNCIA"/>
        <s v="Ajuste"/>
      </sharedItems>
    </cacheField>
    <cacheField name="Total" numFmtId="164">
      <sharedItems containsSemiMixedTypes="0" containsString="0" containsNumber="1" minValue="-46" maxValue="18400"/>
    </cacheField>
    <cacheField name="CATEGORIA" numFmtId="2">
      <sharedItems containsBlank="1" count="4">
        <s v="METAS"/>
        <s v="ESSENCIAL"/>
        <s v="EDUCAÇÃO"/>
        <m u="1"/>
      </sharedItems>
    </cacheField>
    <cacheField name="Coluna1" numFmtId="2">
      <sharedItems containsNonDate="0" containsString="0" containsBlank="1"/>
    </cacheField>
    <cacheField name="jan/22" numFmtId="2">
      <sharedItems containsString="0" containsBlank="1" containsNumber="1" minValue="15" maxValue="5400"/>
    </cacheField>
    <cacheField name="fev/22" numFmtId="2">
      <sharedItems containsString="0" containsBlank="1" containsNumber="1" minValue="20" maxValue="800"/>
    </cacheField>
    <cacheField name="mar/22" numFmtId="2">
      <sharedItems containsString="0" containsBlank="1" containsNumber="1" minValue="20" maxValue="800"/>
    </cacheField>
    <cacheField name="abr/22" numFmtId="2">
      <sharedItems containsString="0" containsBlank="1" containsNumber="1" minValue="20" maxValue="800"/>
    </cacheField>
    <cacheField name="mai/22" numFmtId="2">
      <sharedItems containsString="0" containsBlank="1" containsNumber="1" minValue="20" maxValue="800"/>
    </cacheField>
    <cacheField name="jun/22" numFmtId="2">
      <sharedItems containsString="0" containsBlank="1" containsNumber="1" minValue="20" maxValue="800"/>
    </cacheField>
    <cacheField name="jul/22" numFmtId="2">
      <sharedItems containsString="0" containsBlank="1" containsNumber="1" minValue="20" maxValue="800"/>
    </cacheField>
    <cacheField name="ago/22" numFmtId="2">
      <sharedItems containsString="0" containsBlank="1" containsNumber="1" minValue="20" maxValue="800"/>
    </cacheField>
    <cacheField name="set/22" numFmtId="2">
      <sharedItems containsString="0" containsBlank="1" containsNumber="1" minValue="20" maxValue="800"/>
    </cacheField>
    <cacheField name="out/22" numFmtId="2">
      <sharedItems containsString="0" containsBlank="1" containsNumber="1" minValue="20" maxValue="3375"/>
    </cacheField>
    <cacheField name="nov/22" numFmtId="2">
      <sharedItems containsString="0" containsBlank="1" containsNumber="1" minValue="-12" maxValue="2025"/>
    </cacheField>
    <cacheField name="dez/22" numFmtId="2">
      <sharedItems containsString="0" containsBlank="1" containsNumber="1" minValue="20" maxValue="1000"/>
    </cacheField>
    <cacheField name="jan/23" numFmtId="2">
      <sharedItems containsString="0" containsBlank="1" containsNumber="1" minValue="-15" maxValue="800"/>
    </cacheField>
    <cacheField name="fev/23" numFmtId="2">
      <sharedItems containsString="0" containsBlank="1" containsNumber="1" minValue="-16" maxValue="800"/>
    </cacheField>
    <cacheField name="mar/23" numFmtId="2">
      <sharedItems containsString="0" containsBlank="1" containsNumber="1" minValue="20" maxValue="800"/>
    </cacheField>
    <cacheField name="abr/23" numFmtId="2">
      <sharedItems containsString="0" containsBlank="1" containsNumber="1" minValue="20" maxValue="800"/>
    </cacheField>
    <cacheField name="mai/23" numFmtId="2">
      <sharedItems containsString="0" containsBlank="1" containsNumber="1" containsInteger="1" minValue="-3" maxValue="800"/>
    </cacheField>
    <cacheField name="jun/23" numFmtId="2">
      <sharedItems containsString="0" containsBlank="1" containsNumber="1" minValue="20" maxValue="800"/>
    </cacheField>
    <cacheField name="jul/23" numFmtId="2">
      <sharedItems containsString="0" containsBlank="1" containsNumber="1" minValue="20" maxValue="800"/>
    </cacheField>
    <cacheField name="ago/23" numFmtId="2">
      <sharedItems containsString="0" containsBlank="1" containsNumber="1" minValue="20" maxValue="800"/>
    </cacheField>
    <cacheField name="set/23" numFmtId="2">
      <sharedItems containsString="0" containsBlank="1" containsNumber="1" minValue="20" maxValue="800"/>
    </cacheField>
    <cacheField name="out/23" numFmtId="2">
      <sharedItems containsString="0" containsBlank="1" containsNumber="1" minValue="20" maxValue="2700"/>
    </cacheField>
    <cacheField name="nov/23" numFmtId="2">
      <sharedItems containsString="0" containsBlank="1" containsNumber="1" minValue="20" maxValue="1350"/>
    </cacheField>
    <cacheField name="dez/23" numFmtId="2">
      <sharedItems containsString="0" containsBlank="1" containsNumber="1" minValue="20" maxValue="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n v="2400"/>
    <x v="0"/>
    <m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x v="1"/>
    <n v="5739.6999999999989"/>
    <x v="1"/>
    <m/>
    <n v="5120"/>
    <n v="359.9"/>
    <n v="129.9"/>
    <n v="129.9"/>
    <m/>
    <m/>
    <m/>
    <m/>
    <m/>
    <m/>
    <m/>
    <m/>
    <m/>
    <m/>
    <m/>
    <m/>
    <m/>
    <m/>
    <m/>
    <m/>
    <m/>
    <m/>
    <m/>
    <m/>
  </r>
  <r>
    <x v="2"/>
    <n v="3000"/>
    <x v="1"/>
    <m/>
    <n v="3000"/>
    <m/>
    <m/>
    <m/>
    <m/>
    <m/>
    <m/>
    <m/>
    <m/>
    <m/>
    <m/>
    <m/>
    <m/>
    <m/>
    <m/>
    <m/>
    <m/>
    <m/>
    <m/>
    <m/>
    <m/>
    <m/>
    <m/>
    <m/>
  </r>
  <r>
    <x v="3"/>
    <n v="1200"/>
    <x v="1"/>
    <m/>
    <n v="1200"/>
    <m/>
    <m/>
    <m/>
    <m/>
    <m/>
    <m/>
    <m/>
    <m/>
    <m/>
    <m/>
    <m/>
    <m/>
    <m/>
    <m/>
    <m/>
    <m/>
    <m/>
    <m/>
    <m/>
    <m/>
    <m/>
    <m/>
    <m/>
  </r>
  <r>
    <x v="4"/>
    <n v="700"/>
    <x v="0"/>
    <m/>
    <m/>
    <m/>
    <m/>
    <m/>
    <n v="700"/>
    <m/>
    <m/>
    <m/>
    <m/>
    <m/>
    <m/>
    <m/>
    <m/>
    <m/>
    <m/>
    <m/>
    <m/>
    <m/>
    <m/>
    <m/>
    <m/>
    <m/>
    <m/>
    <m/>
  </r>
  <r>
    <x v="5"/>
    <n v="200"/>
    <x v="1"/>
    <m/>
    <n v="200"/>
    <m/>
    <m/>
    <m/>
    <m/>
    <m/>
    <m/>
    <m/>
    <m/>
    <m/>
    <m/>
    <m/>
    <m/>
    <m/>
    <m/>
    <m/>
    <m/>
    <m/>
    <m/>
    <m/>
    <m/>
    <m/>
    <m/>
    <m/>
  </r>
  <r>
    <x v="6"/>
    <n v="630"/>
    <x v="2"/>
    <m/>
    <n v="630"/>
    <m/>
    <m/>
    <m/>
    <m/>
    <m/>
    <m/>
    <m/>
    <m/>
    <m/>
    <m/>
    <m/>
    <m/>
    <m/>
    <m/>
    <m/>
    <m/>
    <m/>
    <m/>
    <m/>
    <m/>
    <m/>
    <m/>
    <m/>
  </r>
  <r>
    <x v="7"/>
    <n v="1160"/>
    <x v="1"/>
    <m/>
    <m/>
    <n v="580"/>
    <m/>
    <m/>
    <m/>
    <m/>
    <m/>
    <m/>
    <m/>
    <m/>
    <m/>
    <m/>
    <m/>
    <m/>
    <m/>
    <n v="580"/>
    <m/>
    <m/>
    <m/>
    <m/>
    <m/>
    <m/>
    <m/>
    <m/>
  </r>
  <r>
    <x v="8"/>
    <n v="418.6"/>
    <x v="1"/>
    <m/>
    <n v="59.8"/>
    <n v="59.8"/>
    <n v="59.8"/>
    <n v="59.8"/>
    <n v="59.8"/>
    <n v="59.8"/>
    <n v="59.8"/>
    <m/>
    <m/>
    <m/>
    <m/>
    <m/>
    <m/>
    <m/>
    <m/>
    <m/>
    <m/>
    <m/>
    <m/>
    <m/>
    <m/>
    <m/>
    <m/>
    <m/>
  </r>
  <r>
    <x v="9"/>
    <n v="18400"/>
    <x v="1"/>
    <m/>
    <m/>
    <n v="800"/>
    <n v="800"/>
    <n v="800"/>
    <n v="800"/>
    <n v="800"/>
    <n v="800"/>
    <n v="800"/>
    <n v="800"/>
    <n v="800"/>
    <n v="800"/>
    <n v="800"/>
    <n v="800"/>
    <n v="800"/>
    <n v="800"/>
    <n v="800"/>
    <n v="800"/>
    <n v="800"/>
    <n v="800"/>
    <n v="800"/>
    <n v="800"/>
    <n v="800"/>
    <n v="800"/>
    <n v="800"/>
  </r>
  <r>
    <x v="10"/>
    <n v="4250"/>
    <x v="0"/>
    <m/>
    <m/>
    <n v="250"/>
    <n v="250"/>
    <n v="250"/>
    <n v="250"/>
    <m/>
    <n v="250"/>
    <n v="250"/>
    <m/>
    <n v="250"/>
    <n v="250"/>
    <m/>
    <n v="250"/>
    <n v="250"/>
    <n v="250"/>
    <n v="250"/>
    <n v="250"/>
    <m/>
    <n v="250"/>
    <n v="250"/>
    <m/>
    <n v="250"/>
    <n v="250"/>
    <m/>
  </r>
  <r>
    <x v="11"/>
    <n v="2880"/>
    <x v="1"/>
    <m/>
    <n v="120"/>
    <n v="120"/>
    <n v="120"/>
    <n v="120"/>
    <n v="120"/>
    <n v="120"/>
    <n v="120"/>
    <n v="120"/>
    <n v="120"/>
    <n v="120"/>
    <n v="120"/>
    <n v="120"/>
    <n v="120"/>
    <n v="120"/>
    <n v="120"/>
    <n v="120"/>
    <n v="120"/>
    <n v="120"/>
    <n v="120"/>
    <n v="120"/>
    <n v="120"/>
    <n v="120"/>
    <n v="120"/>
    <n v="120"/>
  </r>
  <r>
    <x v="12"/>
    <n v="2900"/>
    <x v="0"/>
    <m/>
    <m/>
    <m/>
    <m/>
    <m/>
    <m/>
    <n v="500"/>
    <m/>
    <m/>
    <n v="700"/>
    <n v="350"/>
    <m/>
    <m/>
    <m/>
    <m/>
    <m/>
    <m/>
    <m/>
    <n v="500"/>
    <m/>
    <m/>
    <n v="500"/>
    <n v="350"/>
    <m/>
    <m/>
  </r>
  <r>
    <x v="13"/>
    <n v="920"/>
    <x v="1"/>
    <m/>
    <m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x v="14"/>
    <n v="2000"/>
    <x v="0"/>
    <m/>
    <m/>
    <m/>
    <m/>
    <m/>
    <m/>
    <m/>
    <m/>
    <m/>
    <m/>
    <m/>
    <m/>
    <n v="1000"/>
    <m/>
    <m/>
    <m/>
    <m/>
    <m/>
    <m/>
    <m/>
    <m/>
    <m/>
    <m/>
    <m/>
    <n v="1000"/>
  </r>
  <r>
    <x v="15"/>
    <n v="400"/>
    <x v="1"/>
    <m/>
    <m/>
    <m/>
    <m/>
    <m/>
    <m/>
    <m/>
    <m/>
    <m/>
    <m/>
    <m/>
    <n v="200"/>
    <m/>
    <m/>
    <m/>
    <m/>
    <m/>
    <m/>
    <m/>
    <m/>
    <m/>
    <m/>
    <m/>
    <n v="200"/>
    <m/>
  </r>
  <r>
    <x v="16"/>
    <n v="1600"/>
    <x v="1"/>
    <m/>
    <m/>
    <m/>
    <m/>
    <m/>
    <m/>
    <m/>
    <m/>
    <m/>
    <m/>
    <m/>
    <m/>
    <n v="800"/>
    <m/>
    <m/>
    <m/>
    <m/>
    <m/>
    <m/>
    <m/>
    <m/>
    <m/>
    <m/>
    <m/>
    <n v="800"/>
  </r>
  <r>
    <x v="17"/>
    <n v="7200"/>
    <x v="1"/>
    <m/>
    <n v="300"/>
    <n v="300"/>
    <n v="300"/>
    <n v="300"/>
    <n v="300"/>
    <n v="300"/>
    <n v="300"/>
    <n v="300"/>
    <n v="300"/>
    <n v="300"/>
    <n v="300"/>
    <n v="300"/>
    <n v="300"/>
    <m/>
    <n v="300"/>
    <n v="600"/>
    <n v="300"/>
    <m/>
    <n v="300"/>
    <n v="300"/>
    <n v="300"/>
    <n v="300"/>
    <n v="600"/>
    <n v="300"/>
  </r>
  <r>
    <x v="18"/>
    <n v="300"/>
    <x v="1"/>
    <m/>
    <n v="100"/>
    <m/>
    <m/>
    <m/>
    <m/>
    <m/>
    <m/>
    <m/>
    <m/>
    <m/>
    <m/>
    <m/>
    <n v="200"/>
    <m/>
    <m/>
    <m/>
    <m/>
    <m/>
    <m/>
    <m/>
    <m/>
    <m/>
    <m/>
    <m/>
  </r>
  <r>
    <x v="19"/>
    <n v="2300"/>
    <x v="1"/>
    <m/>
    <m/>
    <n v="100"/>
    <n v="100"/>
    <n v="100"/>
    <n v="100"/>
    <n v="100"/>
    <n v="100"/>
    <n v="100"/>
    <n v="100"/>
    <n v="100"/>
    <n v="100"/>
    <n v="100"/>
    <n v="100"/>
    <n v="100"/>
    <m/>
    <n v="200"/>
    <n v="100"/>
    <n v="100"/>
    <n v="100"/>
    <n v="100"/>
    <n v="100"/>
    <n v="100"/>
    <n v="100"/>
    <n v="100"/>
  </r>
  <r>
    <x v="20"/>
    <n v="1320"/>
    <x v="1"/>
    <m/>
    <m/>
    <m/>
    <n v="120"/>
    <m/>
    <n v="120"/>
    <m/>
    <n v="120"/>
    <m/>
    <m/>
    <n v="120"/>
    <n v="120"/>
    <m/>
    <n v="120"/>
    <m/>
    <n v="120"/>
    <m/>
    <n v="120"/>
    <m/>
    <n v="120"/>
    <m/>
    <n v="120"/>
    <m/>
    <n v="120"/>
    <m/>
  </r>
  <r>
    <x v="21"/>
    <n v="3117.6000000000013"/>
    <x v="1"/>
    <m/>
    <n v="129.9"/>
    <n v="129.9"/>
    <n v="129.9"/>
    <n v="129.9"/>
    <n v="129.9"/>
    <n v="129.9"/>
    <n v="129.9"/>
    <n v="129.9"/>
    <n v="129.9"/>
    <n v="129.9"/>
    <n v="129.9"/>
    <n v="129.9"/>
    <n v="129.9"/>
    <n v="129.9"/>
    <m/>
    <n v="259.8"/>
    <m/>
    <n v="129.9"/>
    <n v="129.9"/>
    <n v="129.9"/>
    <n v="129.9"/>
    <n v="259.8"/>
    <n v="129.9"/>
    <n v="129.9"/>
  </r>
  <r>
    <x v="22"/>
    <n v="1080"/>
    <x v="1"/>
    <m/>
    <n v="45"/>
    <n v="45"/>
    <n v="45"/>
    <n v="45"/>
    <n v="45"/>
    <n v="45"/>
    <n v="45"/>
    <n v="45"/>
    <n v="45"/>
    <n v="45"/>
    <n v="45"/>
    <n v="45"/>
    <n v="45"/>
    <n v="45"/>
    <n v="45"/>
    <n v="45"/>
    <n v="45"/>
    <m/>
    <n v="90"/>
    <n v="45"/>
    <n v="45"/>
    <n v="45"/>
    <n v="45"/>
    <n v="45"/>
  </r>
  <r>
    <x v="23"/>
    <n v="1223.76"/>
    <x v="1"/>
    <m/>
    <n v="50.99"/>
    <n v="50.99"/>
    <n v="50.99"/>
    <n v="50.99"/>
    <n v="50.99"/>
    <n v="50.99"/>
    <n v="50.99"/>
    <n v="50.99"/>
    <n v="50.99"/>
    <n v="50.99"/>
    <n v="50.99"/>
    <n v="50.99"/>
    <n v="50.99"/>
    <n v="50.99"/>
    <n v="50.99"/>
    <n v="50.99"/>
    <m/>
    <n v="50.99"/>
    <n v="50.99"/>
    <n v="50.99"/>
    <n v="50.99"/>
    <n v="101.98"/>
    <n v="50.99"/>
    <n v="50.99"/>
  </r>
  <r>
    <x v="24"/>
    <n v="4600"/>
    <x v="1"/>
    <m/>
    <m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</r>
  <r>
    <x v="25"/>
    <n v="6000"/>
    <x v="1"/>
    <m/>
    <n v="250"/>
    <n v="250"/>
    <n v="250"/>
    <n v="250"/>
    <n v="250"/>
    <n v="250"/>
    <n v="250"/>
    <n v="250"/>
    <n v="250"/>
    <m/>
    <n v="500"/>
    <n v="250"/>
    <n v="250"/>
    <n v="250"/>
    <m/>
    <n v="500"/>
    <n v="250"/>
    <m/>
    <n v="500"/>
    <n v="250"/>
    <m/>
    <n v="500"/>
    <n v="250"/>
    <n v="250"/>
  </r>
  <r>
    <x v="26"/>
    <n v="475"/>
    <x v="1"/>
    <m/>
    <n v="1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x v="27"/>
    <n v="16200"/>
    <x v="1"/>
    <m/>
    <n v="5400"/>
    <m/>
    <m/>
    <m/>
    <m/>
    <m/>
    <m/>
    <m/>
    <m/>
    <n v="3375"/>
    <n v="2025"/>
    <n v="675"/>
    <m/>
    <m/>
    <m/>
    <n v="675"/>
    <m/>
    <m/>
    <m/>
    <m/>
    <m/>
    <n v="2700"/>
    <n v="1350"/>
    <m/>
  </r>
  <r>
    <x v="28"/>
    <n v="4600"/>
    <x v="1"/>
    <m/>
    <m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m/>
    <n v="200"/>
    <n v="400"/>
    <n v="200"/>
    <n v="200"/>
  </r>
  <r>
    <x v="29"/>
    <n v="0"/>
    <x v="1"/>
    <m/>
    <m/>
    <m/>
    <m/>
    <m/>
    <m/>
    <m/>
    <m/>
    <m/>
    <m/>
    <m/>
    <m/>
    <m/>
    <m/>
    <m/>
    <m/>
    <m/>
    <m/>
    <m/>
    <m/>
    <m/>
    <m/>
    <m/>
    <m/>
    <m/>
  </r>
  <r>
    <x v="30"/>
    <n v="0"/>
    <x v="0"/>
    <m/>
    <m/>
    <m/>
    <m/>
    <m/>
    <m/>
    <m/>
    <m/>
    <m/>
    <m/>
    <m/>
    <m/>
    <m/>
    <m/>
    <m/>
    <m/>
    <m/>
    <m/>
    <m/>
    <m/>
    <m/>
    <m/>
    <m/>
    <m/>
    <m/>
  </r>
  <r>
    <x v="31"/>
    <n v="-46"/>
    <x v="1"/>
    <m/>
    <m/>
    <m/>
    <m/>
    <m/>
    <m/>
    <m/>
    <m/>
    <m/>
    <m/>
    <m/>
    <n v="-12"/>
    <m/>
    <n v="-15"/>
    <n v="-16"/>
    <m/>
    <m/>
    <n v="-3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C0F517-61B6-4A2C-85AD-65F5C4CC93F6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0">
  <location ref="C55:D59" firstHeaderRow="1" firstDataRow="1" firstDataCol="1"/>
  <pivotFields count="28">
    <pivotField showAll="0">
      <items count="33">
        <item x="12"/>
        <item x="19"/>
        <item x="31"/>
        <item x="13"/>
        <item x="1"/>
        <item x="2"/>
        <item x="23"/>
        <item x="22"/>
        <item x="3"/>
        <item x="11"/>
        <item x="25"/>
        <item x="14"/>
        <item x="29"/>
        <item x="10"/>
        <item x="20"/>
        <item x="15"/>
        <item x="21"/>
        <item x="7"/>
        <item x="17"/>
        <item x="8"/>
        <item x="18"/>
        <item x="5"/>
        <item x="16"/>
        <item x="26"/>
        <item x="27"/>
        <item x="4"/>
        <item x="6"/>
        <item x="24"/>
        <item x="0"/>
        <item x="30"/>
        <item x="9"/>
        <item x="28"/>
        <item t="default"/>
      </items>
    </pivotField>
    <pivotField dataField="1" numFmtId="164" showAll="0"/>
    <pivotField axis="axisRow" showAll="0">
      <items count="5">
        <item x="2"/>
        <item x="1"/>
        <item x="0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Total2" fld="1" showDataAs="percentOfTotal" baseField="2" baseItem="0" numFmtId="10"/>
  </dataFields>
  <formats count="2">
    <format dxfId="80">
      <pivotArea outline="0" collapsedLevelsAreSubtotals="1" fieldPosition="0"/>
    </format>
    <format dxfId="81">
      <pivotArea dataOnly="0" labelOnly="1" outline="0" axis="axisValues" fieldPosition="0"/>
    </format>
  </formats>
  <chartFormats count="4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9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2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2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6" format="18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19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2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2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18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8" format="19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9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9" format="2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9" format="2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1E04E-BD92-46DB-B495-D2F028D81436}" name="Tabela237981081011" displayName="Tabela237981081011" ref="A18:AM52" totalsRowCount="1" headerRowDxfId="79" dataDxfId="78">
  <autoFilter ref="A18:AM51" xr:uid="{8231D9BA-2440-4B9C-8791-C10326B0F9D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</autoFilter>
  <sortState xmlns:xlrd2="http://schemas.microsoft.com/office/spreadsheetml/2017/richdata2" ref="A19:Y49">
    <sortCondition ref="A19:A49"/>
  </sortState>
  <tableColumns count="39">
    <tableColumn id="1" xr3:uid="{B624CB2C-80D5-469B-A2B0-1780D2C36D5F}" name="Despesa" dataDxfId="76" totalsRowDxfId="77"/>
    <tableColumn id="15" xr3:uid="{796387FE-3712-4605-8659-9268C044836A}" name="Total" dataDxfId="74" totalsRowDxfId="75" dataCellStyle="Hiperlink">
      <calculatedColumnFormula>SUM(Tabela237981081011[[#This Row],[abr/2024]:[fev/27]])</calculatedColumnFormula>
    </tableColumn>
    <tableColumn id="10" xr3:uid="{8B964FAF-3CBF-4238-B0AC-6387BD587DBE}" name="CATEGORIA" dataDxfId="72" totalsRowDxfId="73" dataCellStyle="Hiperlink"/>
    <tableColumn id="2" xr3:uid="{A83D84B1-A6F1-4B23-9934-0B20127FFB6C}" name="DIA " dataDxfId="70" totalsRowDxfId="71" dataCellStyle="Hiperlink Visitado"/>
    <tableColumn id="25" xr3:uid="{2E1A3953-3CE0-4438-83A8-992781337BC9}" name="abr/2024" totalsRowFunction="sum" dataDxfId="68" totalsRowDxfId="69" dataCellStyle="Hiperlink"/>
    <tableColumn id="26" xr3:uid="{2B9FEDD9-EA67-4742-8DFA-6AA083280D11}" name="mai/2024" totalsRowFunction="sum" dataDxfId="66" totalsRowDxfId="67" dataCellStyle="Hiperlink"/>
    <tableColumn id="27" xr3:uid="{60142328-0BFB-4FB1-BD2C-2FDCE63E583A}" name="jun/2024" totalsRowFunction="sum" dataDxfId="64" totalsRowDxfId="65" dataCellStyle="Hiperlink"/>
    <tableColumn id="28" xr3:uid="{52E500DF-9394-4602-B7FA-8F7C35415D70}" name="jul/2024" totalsRowFunction="sum" dataDxfId="62" totalsRowDxfId="63" dataCellStyle="Hiperlink"/>
    <tableColumn id="29" xr3:uid="{2F184337-10FC-49CB-B7E4-998A889D45BB}" name="ago/2024" totalsRowFunction="sum" dataDxfId="60" totalsRowDxfId="61" dataCellStyle="Hiperlink"/>
    <tableColumn id="30" xr3:uid="{E2C917CC-C2D5-4166-BDFD-7FB79402E7EC}" name="set/2024" totalsRowFunction="sum" dataDxfId="58" totalsRowDxfId="59" dataCellStyle="Hiperlink"/>
    <tableColumn id="31" xr3:uid="{58909224-64D0-43AD-8F7F-C89B6440A278}" name="out/2024" totalsRowFunction="sum" dataDxfId="56" totalsRowDxfId="57" dataCellStyle="Hiperlink"/>
    <tableColumn id="32" xr3:uid="{48B83D8F-F925-436A-9E6B-FAE1A2C0520F}" name="nov/2024" totalsRowFunction="sum" dataDxfId="54" totalsRowDxfId="55" dataCellStyle="Hiperlink"/>
    <tableColumn id="33" xr3:uid="{033313A9-553B-4338-92B3-A119E284B753}" name="dez/2024" totalsRowFunction="sum" dataDxfId="52" totalsRowDxfId="53" dataCellStyle="Hiperlink"/>
    <tableColumn id="34" xr3:uid="{2535BA20-9A5F-40B2-8B91-A04BCF8D3C0A}" name="jan/2025" totalsRowFunction="sum" dataDxfId="50" totalsRowDxfId="51" dataCellStyle="Hiperlink"/>
    <tableColumn id="35" xr3:uid="{CA9FD3A3-04E8-41DF-A12D-367E37DB437E}" name="fev/2025" totalsRowFunction="sum" dataDxfId="48" totalsRowDxfId="49" dataCellStyle="Hiperlink"/>
    <tableColumn id="36" xr3:uid="{48D24E3C-4474-476E-A77F-0A4AC9803A87}" name="mar/2025" totalsRowFunction="sum" dataDxfId="46" totalsRowDxfId="47" dataCellStyle="Hiperlink"/>
    <tableColumn id="4" xr3:uid="{69150657-A311-4E28-B5BD-67124DB46C7B}" name="abr/2025" totalsRowFunction="sum" dataDxfId="44" totalsRowDxfId="45" dataCellStyle="Hiperlink"/>
    <tableColumn id="5" xr3:uid="{0F309C72-92AD-4217-BD35-7228CC1DBB4E}" name="mai/2025" totalsRowFunction="sum" dataDxfId="42" totalsRowDxfId="43" dataCellStyle="Hiperlink"/>
    <tableColumn id="6" xr3:uid="{003B2AA7-43B0-4B63-828A-BF69D3AD6028}" name="jun/2025" totalsRowFunction="sum" dataDxfId="40" totalsRowDxfId="41" dataCellStyle="Hiperlink"/>
    <tableColumn id="7" xr3:uid="{4E64FB93-2480-454F-95B9-230F1342C66B}" name="jul/2025" totalsRowFunction="sum" dataDxfId="38" totalsRowDxfId="39" dataCellStyle="Hiperlink"/>
    <tableColumn id="8" xr3:uid="{ECD0B190-5FDA-4112-9C58-36175A1C10DC}" name="ago/2025" totalsRowFunction="sum" dataDxfId="36" totalsRowDxfId="37" dataCellStyle="Hiperlink"/>
    <tableColumn id="9" xr3:uid="{F937E6C5-6E5F-4481-A31D-713D31DF05E9}" name="set/2025" totalsRowFunction="sum" dataDxfId="34" totalsRowDxfId="35" dataCellStyle="Hiperlink"/>
    <tableColumn id="37" xr3:uid="{258B979A-639A-47BF-97FD-4697422CFBD7}" name="out/2025" totalsRowFunction="sum" dataDxfId="32" totalsRowDxfId="33" dataCellStyle="Hiperlink"/>
    <tableColumn id="38" xr3:uid="{BF67E2B0-F66E-42FF-A210-187421285483}" name="nov/2025" totalsRowFunction="sum" dataDxfId="30" totalsRowDxfId="31" dataCellStyle="Hiperlink"/>
    <tableColumn id="39" xr3:uid="{96D38DF7-A18E-4F38-9FBA-C4575A20B692}" name="dez/2025" totalsRowFunction="sum" dataDxfId="28" totalsRowDxfId="29" dataCellStyle="Hiperlink"/>
    <tableColumn id="3" xr3:uid="{5A8D43E7-84AD-4B79-931D-483ACBA57C57}" name="jan/26" dataDxfId="26" totalsRowDxfId="27" dataCellStyle="Hiperlink"/>
    <tableColumn id="11" xr3:uid="{8D2EA732-1FA4-429B-98E4-AEE21F00A0E9}" name="fev/26" dataDxfId="24" totalsRowDxfId="25" dataCellStyle="Hiperlink"/>
    <tableColumn id="12" xr3:uid="{01622AFF-0413-4220-AE92-9E244A4D0993}" name="mar/26" dataDxfId="22" totalsRowDxfId="23" dataCellStyle="Hiperlink"/>
    <tableColumn id="13" xr3:uid="{7A7F2B3C-E672-4CDD-B626-82DF2DD9D3DC}" name="abr/26" dataDxfId="20" totalsRowDxfId="21" dataCellStyle="Hiperlink"/>
    <tableColumn id="14" xr3:uid="{833C1198-1817-484F-80EC-F300A0F1A0B4}" name="mai/26" dataDxfId="18" totalsRowDxfId="19" dataCellStyle="Hiperlink"/>
    <tableColumn id="16" xr3:uid="{75BFF685-E0BE-47E3-88F6-61B92C967381}" name="jun/26" dataDxfId="16" totalsRowDxfId="17" dataCellStyle="Hiperlink"/>
    <tableColumn id="17" xr3:uid="{F7CAA70B-C829-43EF-91F1-BF3D695BAD5B}" name="jul/26" dataDxfId="14" totalsRowDxfId="15" dataCellStyle="Hiperlink"/>
    <tableColumn id="18" xr3:uid="{92252312-4D1A-4241-A486-66E29D98E1D6}" name="ago/26" dataDxfId="12" totalsRowDxfId="13" dataCellStyle="Hiperlink"/>
    <tableColumn id="19" xr3:uid="{6334C96A-C90F-42A1-827C-2CD51B98C06C}" name="set/26" dataDxfId="10" totalsRowDxfId="11" dataCellStyle="Hiperlink"/>
    <tableColumn id="20" xr3:uid="{FDF1777B-5E12-462A-8905-ADD1E534441D}" name="out/26" dataDxfId="8" totalsRowDxfId="9" dataCellStyle="Hiperlink"/>
    <tableColumn id="21" xr3:uid="{1D7C2AE9-04E7-4F3D-9B0E-490736AF4646}" name="nov/26" dataDxfId="6" totalsRowDxfId="7" dataCellStyle="Hiperlink"/>
    <tableColumn id="22" xr3:uid="{39EC001F-4EAA-4625-A87F-E597AFABE8AA}" name="dez/26" dataDxfId="4" totalsRowDxfId="5" dataCellStyle="Hiperlink"/>
    <tableColumn id="23" xr3:uid="{33CC98BF-D8B3-417E-BC5E-0730ED113D15}" name="jan/27" dataDxfId="2" totalsRowDxfId="3" dataCellStyle="Hiperlink"/>
    <tableColumn id="24" xr3:uid="{6A8988D7-4D30-4AEA-BA7A-013233779B59}" name="fev/27" dataDxfId="0" totalsRowDxfId="1" dataCellStyle="Hiperlink"/>
  </tableColumns>
  <tableStyleInfo name="TableStyleMedium2" showFirstColumn="1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9F6AC-74D9-4648-A1AC-295C2709703E}">
  <sheetPr codeName="Planilha24">
    <pageSetUpPr fitToPage="1"/>
  </sheetPr>
  <dimension ref="A1:AM59"/>
  <sheetViews>
    <sheetView showGridLines="0" tabSelected="1" zoomScale="90" zoomScaleNormal="90" workbookViewId="0">
      <selection activeCell="Z42" sqref="Z42"/>
    </sheetView>
  </sheetViews>
  <sheetFormatPr defaultRowHeight="15" x14ac:dyDescent="0.25"/>
  <cols>
    <col min="1" max="1" width="27.140625" customWidth="1"/>
    <col min="2" max="2" width="14.5703125" bestFit="1" customWidth="1"/>
    <col min="3" max="3" width="18" hidden="1" customWidth="1"/>
    <col min="4" max="4" width="7.42578125" style="106" hidden="1" customWidth="1"/>
    <col min="5" max="12" width="13.28515625" hidden="1" customWidth="1"/>
    <col min="13" max="13" width="13.7109375" hidden="1" customWidth="1"/>
    <col min="14" max="14" width="13.28515625" hidden="1" customWidth="1"/>
    <col min="15" max="16" width="12.7109375" hidden="1" customWidth="1"/>
    <col min="17" max="17" width="13.28515625" hidden="1" customWidth="1"/>
    <col min="18" max="18" width="12.7109375" hidden="1" customWidth="1"/>
    <col min="19" max="25" width="13.28515625" hidden="1" customWidth="1"/>
    <col min="26" max="34" width="13.28515625" bestFit="1" customWidth="1"/>
    <col min="35" max="39" width="14.5703125" bestFit="1" customWidth="1"/>
  </cols>
  <sheetData>
    <row r="1" spans="1:39" ht="21" x14ac:dyDescent="0.25">
      <c r="A1" s="1">
        <f>AM2</f>
        <v>4707.8700000000099</v>
      </c>
      <c r="B1" s="2"/>
      <c r="D1" s="3"/>
      <c r="E1" s="4">
        <v>45383</v>
      </c>
      <c r="F1" s="4">
        <v>45413</v>
      </c>
      <c r="G1" s="4">
        <v>45444</v>
      </c>
      <c r="H1" s="4">
        <v>45474</v>
      </c>
      <c r="I1" s="5">
        <v>45505</v>
      </c>
      <c r="J1" s="4">
        <v>45536</v>
      </c>
      <c r="K1" s="4">
        <v>45566</v>
      </c>
      <c r="L1" s="4">
        <v>45597</v>
      </c>
      <c r="M1" s="4">
        <v>45627</v>
      </c>
      <c r="N1" s="4">
        <v>45658</v>
      </c>
      <c r="O1" s="4">
        <v>45689</v>
      </c>
      <c r="P1" s="4">
        <v>45717</v>
      </c>
      <c r="Q1" s="4">
        <v>45748</v>
      </c>
      <c r="R1" s="4">
        <v>45778</v>
      </c>
      <c r="S1" s="4">
        <v>45809</v>
      </c>
      <c r="T1" s="4">
        <v>45839</v>
      </c>
      <c r="U1" s="4">
        <v>45870</v>
      </c>
      <c r="V1" s="4">
        <v>45901</v>
      </c>
      <c r="W1" s="4">
        <v>45931</v>
      </c>
      <c r="X1" s="4">
        <v>45962</v>
      </c>
      <c r="Y1" s="4">
        <v>45992</v>
      </c>
      <c r="Z1" s="4">
        <v>46023</v>
      </c>
      <c r="AA1" s="4">
        <v>46054</v>
      </c>
      <c r="AB1" s="4">
        <v>46082</v>
      </c>
      <c r="AC1" s="4">
        <v>46113</v>
      </c>
      <c r="AD1" s="4">
        <v>46143</v>
      </c>
      <c r="AE1" s="4">
        <v>46174</v>
      </c>
      <c r="AF1" s="4">
        <v>46204</v>
      </c>
      <c r="AG1" s="4">
        <v>46235</v>
      </c>
      <c r="AH1" s="4">
        <v>46266</v>
      </c>
      <c r="AI1" s="4">
        <v>46296</v>
      </c>
      <c r="AJ1" s="4">
        <v>46327</v>
      </c>
      <c r="AK1" s="4">
        <v>46357</v>
      </c>
      <c r="AL1" s="4">
        <v>46388</v>
      </c>
      <c r="AM1" s="4">
        <v>46419</v>
      </c>
    </row>
    <row r="2" spans="1:39" ht="18.75" x14ac:dyDescent="0.25">
      <c r="A2" s="6" t="s">
        <v>0</v>
      </c>
      <c r="B2" s="7"/>
      <c r="C2" s="8"/>
      <c r="D2" s="9"/>
      <c r="E2" s="10">
        <f>E14-(SUM(E15,IF(EVEN(E16),E16*-1,ABS(E16))))</f>
        <v>0</v>
      </c>
      <c r="F2" s="10">
        <f>F14-(SUM(F15,IF(EVEN(F16),F16*-1,ABS(F16))))</f>
        <v>0</v>
      </c>
      <c r="G2" s="10">
        <f>G14-(SUM(G15,IF(EVEN(G16),G16*-1,ABS(G16))))</f>
        <v>0</v>
      </c>
      <c r="H2" s="10">
        <f>H14-(SUM(H15,IF(EVEN(H16),H16*-1,ABS(H16))))</f>
        <v>0</v>
      </c>
      <c r="I2" s="11"/>
      <c r="J2" s="10">
        <f t="shared" ref="J2:AM2" si="0">J14-(SUM(J15,IF(EVEN(J16),J16*-1,ABS(J16))))</f>
        <v>0</v>
      </c>
      <c r="K2" s="10">
        <f t="shared" si="0"/>
        <v>0</v>
      </c>
      <c r="L2" s="10">
        <f t="shared" si="0"/>
        <v>0</v>
      </c>
      <c r="M2" s="10">
        <f t="shared" si="0"/>
        <v>0</v>
      </c>
      <c r="N2" s="10">
        <f t="shared" si="0"/>
        <v>0</v>
      </c>
      <c r="O2" s="10">
        <f t="shared" si="0"/>
        <v>0</v>
      </c>
      <c r="P2" s="10">
        <f t="shared" si="0"/>
        <v>0</v>
      </c>
      <c r="Q2" s="10">
        <f t="shared" si="0"/>
        <v>0</v>
      </c>
      <c r="R2" s="10">
        <f t="shared" si="0"/>
        <v>0</v>
      </c>
      <c r="S2" s="10">
        <f t="shared" si="0"/>
        <v>0</v>
      </c>
      <c r="T2" s="10">
        <f t="shared" si="0"/>
        <v>0</v>
      </c>
      <c r="U2" s="10">
        <f t="shared" si="0"/>
        <v>0</v>
      </c>
      <c r="V2" s="10">
        <f t="shared" si="0"/>
        <v>0</v>
      </c>
      <c r="W2" s="10">
        <f t="shared" si="0"/>
        <v>0</v>
      </c>
      <c r="X2" s="10">
        <f t="shared" si="0"/>
        <v>0</v>
      </c>
      <c r="Y2" s="10">
        <f t="shared" si="0"/>
        <v>0</v>
      </c>
      <c r="Z2" s="10">
        <f t="shared" si="0"/>
        <v>-843.13999999999942</v>
      </c>
      <c r="AA2" s="10">
        <f t="shared" si="0"/>
        <v>-1059.1799999999985</v>
      </c>
      <c r="AB2" s="10">
        <f t="shared" si="0"/>
        <v>-365.21999999999753</v>
      </c>
      <c r="AC2" s="10">
        <f t="shared" si="0"/>
        <v>473.74000000000342</v>
      </c>
      <c r="AD2" s="10">
        <f t="shared" si="0"/>
        <v>1132.7000000000044</v>
      </c>
      <c r="AE2" s="10">
        <f t="shared" si="0"/>
        <v>441.66000000000349</v>
      </c>
      <c r="AF2" s="10">
        <f t="shared" si="0"/>
        <v>180.62000000000444</v>
      </c>
      <c r="AG2" s="10">
        <f t="shared" si="0"/>
        <v>84.580000000005384</v>
      </c>
      <c r="AH2" s="10">
        <f>AH14-(SUM(AH15,IF(EVEN(AH16),AH16*-1,ABS(AH16))))</f>
        <v>-1061.4599999999937</v>
      </c>
      <c r="AI2" s="10">
        <f t="shared" si="0"/>
        <v>2422.5000000000073</v>
      </c>
      <c r="AJ2" s="10">
        <f t="shared" si="0"/>
        <v>5606.2400000000089</v>
      </c>
      <c r="AK2" s="10">
        <f t="shared" si="0"/>
        <v>8219.950000000008</v>
      </c>
      <c r="AL2" s="10">
        <f t="shared" si="0"/>
        <v>4803.9100000000089</v>
      </c>
      <c r="AM2" s="10">
        <f t="shared" si="0"/>
        <v>4707.8700000000099</v>
      </c>
    </row>
    <row r="3" spans="1:39" s="20" customFormat="1" ht="24" customHeight="1" x14ac:dyDescent="0.25">
      <c r="A3" s="12" t="s">
        <v>1</v>
      </c>
      <c r="B3" s="13">
        <f t="shared" ref="B3:B15" si="1">SUM(E3:Y3)</f>
        <v>0</v>
      </c>
      <c r="C3" s="14"/>
      <c r="D3" s="15"/>
      <c r="E3" s="16"/>
      <c r="F3" s="16"/>
      <c r="G3" s="16"/>
      <c r="H3" s="16"/>
      <c r="I3" s="11"/>
      <c r="J3" s="17"/>
      <c r="K3" s="16"/>
      <c r="L3" s="16"/>
      <c r="M3" s="16"/>
      <c r="N3" s="16"/>
      <c r="O3" s="18"/>
      <c r="P3" s="16"/>
      <c r="Q3" s="16"/>
      <c r="R3" s="16"/>
      <c r="S3" s="16"/>
      <c r="T3" s="16"/>
      <c r="U3" s="16"/>
      <c r="V3" s="16"/>
      <c r="W3" s="16"/>
      <c r="X3" s="16"/>
      <c r="Y3" s="16"/>
      <c r="Z3" s="19">
        <v>2530</v>
      </c>
      <c r="AA3" s="16">
        <v>1000</v>
      </c>
      <c r="AB3" s="16">
        <v>2250</v>
      </c>
      <c r="AC3" s="16">
        <v>2250</v>
      </c>
      <c r="AD3" s="16">
        <v>2250</v>
      </c>
      <c r="AE3" s="16">
        <v>2250</v>
      </c>
      <c r="AF3" s="16">
        <v>2250</v>
      </c>
      <c r="AG3" s="16">
        <v>2250</v>
      </c>
      <c r="AH3" s="16">
        <v>2250</v>
      </c>
      <c r="AI3" s="16">
        <v>2250</v>
      </c>
      <c r="AJ3" s="16">
        <v>2250</v>
      </c>
      <c r="AK3" s="16">
        <v>2250</v>
      </c>
      <c r="AL3" s="16">
        <v>1600</v>
      </c>
      <c r="AM3" s="16">
        <v>2250</v>
      </c>
    </row>
    <row r="4" spans="1:39" s="20" customFormat="1" ht="24" customHeight="1" x14ac:dyDescent="0.25">
      <c r="A4" s="12" t="s">
        <v>2</v>
      </c>
      <c r="B4" s="13">
        <f t="shared" si="1"/>
        <v>0</v>
      </c>
      <c r="C4" s="14"/>
      <c r="D4" s="15"/>
      <c r="E4" s="16"/>
      <c r="F4" s="16"/>
      <c r="G4" s="16"/>
      <c r="H4" s="16"/>
      <c r="I4" s="11"/>
      <c r="J4" s="17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21">
        <v>2000</v>
      </c>
      <c r="AA4" s="16">
        <v>2350</v>
      </c>
      <c r="AB4" s="16">
        <v>2350</v>
      </c>
      <c r="AC4" s="16">
        <v>2350</v>
      </c>
      <c r="AD4" s="16">
        <v>2350</v>
      </c>
      <c r="AE4" s="16">
        <v>2350</v>
      </c>
      <c r="AF4" s="16">
        <v>2350</v>
      </c>
      <c r="AG4" s="16">
        <v>2350</v>
      </c>
      <c r="AH4" s="16">
        <v>2350</v>
      </c>
      <c r="AI4" s="16">
        <v>2350</v>
      </c>
      <c r="AJ4" s="16">
        <v>2350</v>
      </c>
      <c r="AK4" s="16"/>
      <c r="AL4" s="16"/>
      <c r="AM4" s="16">
        <v>2350</v>
      </c>
    </row>
    <row r="5" spans="1:39" s="20" customFormat="1" ht="24" customHeight="1" x14ac:dyDescent="0.25">
      <c r="A5" s="12" t="s">
        <v>3</v>
      </c>
      <c r="B5" s="13">
        <f t="shared" si="1"/>
        <v>0</v>
      </c>
      <c r="C5" s="14"/>
      <c r="D5" s="15"/>
      <c r="E5" s="16"/>
      <c r="F5" s="16"/>
      <c r="G5" s="16"/>
      <c r="H5" s="16"/>
      <c r="I5" s="11"/>
      <c r="J5" s="17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22">
        <v>900</v>
      </c>
      <c r="AA5" s="16">
        <v>900</v>
      </c>
      <c r="AB5" s="16">
        <v>900</v>
      </c>
      <c r="AC5" s="16">
        <v>900</v>
      </c>
      <c r="AD5" s="16">
        <v>900</v>
      </c>
      <c r="AE5" s="16">
        <v>900</v>
      </c>
      <c r="AF5" s="16">
        <v>900</v>
      </c>
      <c r="AG5" s="16">
        <v>900</v>
      </c>
      <c r="AH5" s="16">
        <v>900</v>
      </c>
      <c r="AI5" s="16">
        <v>900</v>
      </c>
      <c r="AJ5" s="16">
        <v>900</v>
      </c>
      <c r="AK5" s="16">
        <v>900</v>
      </c>
      <c r="AL5" s="16">
        <v>900</v>
      </c>
      <c r="AM5" s="16">
        <v>900</v>
      </c>
    </row>
    <row r="6" spans="1:39" s="20" customFormat="1" ht="24" customHeight="1" x14ac:dyDescent="0.25">
      <c r="A6" s="12" t="s">
        <v>4</v>
      </c>
      <c r="B6" s="13">
        <f t="shared" si="1"/>
        <v>0</v>
      </c>
      <c r="C6" s="14"/>
      <c r="D6" s="15"/>
      <c r="E6" s="23"/>
      <c r="F6" s="23"/>
      <c r="G6" s="23"/>
      <c r="H6" s="24"/>
      <c r="I6" s="11"/>
      <c r="J6" s="17"/>
      <c r="K6" s="23"/>
      <c r="L6" s="23"/>
      <c r="M6" s="23"/>
      <c r="N6" s="23"/>
      <c r="O6" s="23"/>
      <c r="P6" s="23" t="s">
        <v>5</v>
      </c>
      <c r="Q6" s="23"/>
      <c r="R6" s="23"/>
      <c r="S6" s="23"/>
      <c r="T6" s="23"/>
      <c r="U6" s="23"/>
      <c r="V6" s="23"/>
      <c r="W6" s="23"/>
      <c r="X6" s="23"/>
      <c r="Y6" s="23"/>
      <c r="Z6" s="25">
        <v>560</v>
      </c>
      <c r="AA6" s="23">
        <v>560</v>
      </c>
      <c r="AB6" s="23">
        <v>1100</v>
      </c>
      <c r="AC6" s="23"/>
      <c r="AD6" s="23"/>
      <c r="AE6" s="23">
        <v>2000</v>
      </c>
      <c r="AF6" s="23"/>
      <c r="AG6" s="23"/>
      <c r="AH6" s="23"/>
      <c r="AI6" s="23">
        <v>2000</v>
      </c>
      <c r="AJ6" s="23"/>
      <c r="AK6" s="23"/>
      <c r="AL6" s="23"/>
      <c r="AM6" s="23"/>
    </row>
    <row r="7" spans="1:39" s="20" customFormat="1" ht="24" customHeight="1" x14ac:dyDescent="0.25">
      <c r="A7" s="12" t="s">
        <v>6</v>
      </c>
      <c r="B7" s="13">
        <f t="shared" si="1"/>
        <v>0</v>
      </c>
      <c r="C7" s="14"/>
      <c r="D7" s="15"/>
      <c r="E7" s="23"/>
      <c r="F7" s="23"/>
      <c r="G7" s="23"/>
      <c r="H7" s="23"/>
      <c r="I7" s="11"/>
      <c r="J7" s="17"/>
      <c r="K7" s="23"/>
      <c r="L7" s="23"/>
      <c r="M7" s="23"/>
      <c r="N7" s="23"/>
      <c r="O7" s="23"/>
      <c r="P7" s="23" t="s">
        <v>5</v>
      </c>
      <c r="Q7" s="23"/>
      <c r="R7" s="23"/>
      <c r="S7" s="23"/>
      <c r="T7" s="23"/>
      <c r="U7" s="23"/>
      <c r="V7" s="23"/>
      <c r="W7" s="23"/>
      <c r="X7" s="23"/>
      <c r="Y7" s="26"/>
      <c r="Z7" s="26"/>
      <c r="AA7" s="26"/>
      <c r="AB7" s="26">
        <v>560</v>
      </c>
      <c r="AC7" s="26">
        <v>4000</v>
      </c>
      <c r="AD7" s="26"/>
      <c r="AE7" s="26"/>
      <c r="AF7" s="26"/>
      <c r="AG7" s="26"/>
      <c r="AH7" s="26"/>
      <c r="AI7" s="26"/>
      <c r="AJ7" s="26"/>
      <c r="AK7" s="26"/>
      <c r="AL7" s="26"/>
      <c r="AM7" s="26"/>
    </row>
    <row r="8" spans="1:39" s="20" customFormat="1" ht="24" customHeight="1" x14ac:dyDescent="0.25">
      <c r="A8" s="12" t="s">
        <v>7</v>
      </c>
      <c r="B8" s="13">
        <f t="shared" si="1"/>
        <v>0</v>
      </c>
      <c r="C8" s="14"/>
      <c r="D8" s="15"/>
      <c r="E8" s="23"/>
      <c r="F8" s="23"/>
      <c r="G8" s="23"/>
      <c r="H8" s="23"/>
      <c r="I8" s="11"/>
      <c r="J8" s="17"/>
      <c r="K8" s="23"/>
      <c r="L8" s="23"/>
      <c r="M8" s="23"/>
      <c r="N8" s="23"/>
      <c r="O8" s="23"/>
      <c r="P8" s="23" t="s">
        <v>5</v>
      </c>
      <c r="Q8" s="23"/>
      <c r="R8" s="23"/>
      <c r="S8" s="23"/>
      <c r="T8" s="23"/>
      <c r="U8" s="23"/>
      <c r="W8" s="23"/>
      <c r="X8" s="27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>
        <v>2000</v>
      </c>
      <c r="AJ8" s="28"/>
      <c r="AK8" s="28"/>
      <c r="AL8" s="28"/>
      <c r="AM8" s="28"/>
    </row>
    <row r="9" spans="1:39" s="20" customFormat="1" ht="24" customHeight="1" x14ac:dyDescent="0.25">
      <c r="A9" s="12" t="s">
        <v>8</v>
      </c>
      <c r="B9" s="13">
        <f t="shared" si="1"/>
        <v>0</v>
      </c>
      <c r="C9" s="14"/>
      <c r="D9" s="15"/>
      <c r="E9" s="23"/>
      <c r="F9" s="23"/>
      <c r="G9" s="23"/>
      <c r="H9" s="23"/>
      <c r="I9" s="11"/>
      <c r="J9" s="17"/>
      <c r="K9" s="23"/>
      <c r="L9" s="29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3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>
        <v>3279.78</v>
      </c>
      <c r="AK9" s="28"/>
      <c r="AL9" s="28"/>
      <c r="AM9" s="28"/>
    </row>
    <row r="10" spans="1:39" s="20" customFormat="1" ht="24" customHeight="1" x14ac:dyDescent="0.25">
      <c r="A10" s="12" t="s">
        <v>9</v>
      </c>
      <c r="B10" s="13">
        <f t="shared" si="1"/>
        <v>0</v>
      </c>
      <c r="C10" s="14"/>
      <c r="D10" s="15"/>
      <c r="E10" s="23"/>
      <c r="F10" s="23"/>
      <c r="G10" s="23"/>
      <c r="H10" s="23"/>
      <c r="I10" s="11"/>
      <c r="J10" s="17"/>
      <c r="K10" s="23"/>
      <c r="L10" s="23"/>
      <c r="M10" s="31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>
        <v>1909.75</v>
      </c>
      <c r="AL10" s="32"/>
      <c r="AM10" s="32"/>
    </row>
    <row r="11" spans="1:39" s="20" customFormat="1" ht="24" customHeight="1" x14ac:dyDescent="0.25">
      <c r="A11" s="12" t="s">
        <v>10</v>
      </c>
      <c r="B11" s="13">
        <f t="shared" si="1"/>
        <v>0</v>
      </c>
      <c r="C11" s="14"/>
      <c r="D11" s="15"/>
      <c r="E11" s="23"/>
      <c r="F11" s="23"/>
      <c r="G11" s="23"/>
      <c r="H11" s="23"/>
      <c r="I11" s="11"/>
      <c r="J11" s="17"/>
      <c r="K11" s="23"/>
      <c r="L11" s="23"/>
      <c r="M11" s="31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31"/>
      <c r="Z11" s="31"/>
      <c r="AA11" s="31">
        <v>1300</v>
      </c>
      <c r="AB11" s="31">
        <v>1300</v>
      </c>
      <c r="AC11" s="31">
        <v>1300</v>
      </c>
      <c r="AD11" s="31">
        <v>1300</v>
      </c>
      <c r="AE11" s="31">
        <v>1300</v>
      </c>
      <c r="AF11" s="31">
        <v>1300</v>
      </c>
      <c r="AG11" s="31">
        <v>1300</v>
      </c>
      <c r="AH11" s="31">
        <v>1300</v>
      </c>
      <c r="AI11" s="31">
        <v>1300</v>
      </c>
      <c r="AJ11" s="31">
        <v>1300</v>
      </c>
      <c r="AK11" s="31">
        <v>7200</v>
      </c>
      <c r="AL11" s="31">
        <v>1300</v>
      </c>
      <c r="AM11" s="31">
        <v>1300</v>
      </c>
    </row>
    <row r="12" spans="1:39" s="20" customFormat="1" ht="24" customHeight="1" x14ac:dyDescent="0.25">
      <c r="A12" s="33" t="s">
        <v>11</v>
      </c>
      <c r="B12" s="34">
        <f t="shared" si="1"/>
        <v>0</v>
      </c>
      <c r="C12" s="35"/>
      <c r="D12" s="36"/>
      <c r="E12" s="37">
        <f>SUM(E13:E13)</f>
        <v>0</v>
      </c>
      <c r="F12" s="37">
        <f>SUM(F13:F13)</f>
        <v>0</v>
      </c>
      <c r="G12" s="37">
        <f>SUM(G13:G13)</f>
        <v>0</v>
      </c>
      <c r="H12" s="37"/>
      <c r="I12" s="38"/>
      <c r="J12" s="37">
        <f t="shared" ref="J12:AM12" si="2">SUM(J13:J13)</f>
        <v>0</v>
      </c>
      <c r="K12" s="37">
        <f t="shared" si="2"/>
        <v>0</v>
      </c>
      <c r="L12" s="37">
        <f t="shared" si="2"/>
        <v>0</v>
      </c>
      <c r="M12" s="37">
        <f t="shared" si="2"/>
        <v>0</v>
      </c>
      <c r="N12" s="37">
        <f t="shared" si="2"/>
        <v>0</v>
      </c>
      <c r="O12" s="37">
        <f t="shared" si="2"/>
        <v>0</v>
      </c>
      <c r="P12" s="37">
        <f t="shared" si="2"/>
        <v>0</v>
      </c>
      <c r="Q12" s="37">
        <f t="shared" si="2"/>
        <v>0</v>
      </c>
      <c r="R12" s="37">
        <f t="shared" si="2"/>
        <v>0</v>
      </c>
      <c r="S12" s="37">
        <f t="shared" si="2"/>
        <v>0</v>
      </c>
      <c r="T12" s="37">
        <f t="shared" si="2"/>
        <v>0</v>
      </c>
      <c r="U12" s="37">
        <f t="shared" si="2"/>
        <v>0</v>
      </c>
      <c r="V12" s="37">
        <f t="shared" si="2"/>
        <v>0</v>
      </c>
      <c r="W12" s="37">
        <f t="shared" si="2"/>
        <v>0</v>
      </c>
      <c r="X12" s="37">
        <f t="shared" si="2"/>
        <v>0</v>
      </c>
      <c r="Y12" s="37">
        <f t="shared" si="2"/>
        <v>0</v>
      </c>
      <c r="Z12" s="37">
        <f t="shared" si="2"/>
        <v>0</v>
      </c>
      <c r="AA12" s="37">
        <f t="shared" si="2"/>
        <v>575</v>
      </c>
      <c r="AB12" s="37">
        <f t="shared" si="2"/>
        <v>575</v>
      </c>
      <c r="AC12" s="37">
        <f t="shared" si="2"/>
        <v>575</v>
      </c>
      <c r="AD12" s="37">
        <f t="shared" si="2"/>
        <v>575</v>
      </c>
      <c r="AE12" s="37">
        <f t="shared" si="2"/>
        <v>575</v>
      </c>
      <c r="AF12" s="37">
        <f t="shared" si="2"/>
        <v>575</v>
      </c>
      <c r="AG12" s="37">
        <f t="shared" si="2"/>
        <v>575</v>
      </c>
      <c r="AH12" s="37">
        <f t="shared" si="2"/>
        <v>575</v>
      </c>
      <c r="AI12" s="37">
        <f t="shared" si="2"/>
        <v>575</v>
      </c>
      <c r="AJ12" s="37">
        <f t="shared" si="2"/>
        <v>575</v>
      </c>
      <c r="AK12" s="37">
        <f t="shared" si="2"/>
        <v>575</v>
      </c>
      <c r="AL12" s="37">
        <f t="shared" si="2"/>
        <v>575</v>
      </c>
      <c r="AM12" s="37">
        <f t="shared" si="2"/>
        <v>575</v>
      </c>
    </row>
    <row r="13" spans="1:39" s="20" customFormat="1" ht="15.75" x14ac:dyDescent="0.25">
      <c r="A13" s="39" t="s">
        <v>12</v>
      </c>
      <c r="B13" s="40">
        <f t="shared" si="1"/>
        <v>0</v>
      </c>
      <c r="C13" s="41"/>
      <c r="D13" s="42"/>
      <c r="E13" s="40"/>
      <c r="F13" s="40"/>
      <c r="G13" s="40"/>
      <c r="H13" s="40"/>
      <c r="I13" s="40"/>
      <c r="J13" s="40"/>
      <c r="K13" s="40"/>
      <c r="L13" s="43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>
        <v>575</v>
      </c>
      <c r="AB13" s="40">
        <v>575</v>
      </c>
      <c r="AC13" s="40">
        <v>575</v>
      </c>
      <c r="AD13" s="40">
        <v>575</v>
      </c>
      <c r="AE13" s="40">
        <v>575</v>
      </c>
      <c r="AF13" s="40">
        <v>575</v>
      </c>
      <c r="AG13" s="40">
        <v>575</v>
      </c>
      <c r="AH13" s="40">
        <v>575</v>
      </c>
      <c r="AI13" s="40">
        <v>575</v>
      </c>
      <c r="AJ13" s="40">
        <v>575</v>
      </c>
      <c r="AK13" s="40">
        <v>575</v>
      </c>
      <c r="AL13" s="40">
        <v>575</v>
      </c>
      <c r="AM13" s="40">
        <v>575</v>
      </c>
    </row>
    <row r="14" spans="1:39" ht="18.75" customHeight="1" x14ac:dyDescent="0.25">
      <c r="A14" s="44" t="s">
        <v>13</v>
      </c>
      <c r="B14" s="45">
        <f>SUM(E14:Y14)</f>
        <v>0</v>
      </c>
      <c r="C14" s="46"/>
      <c r="D14" s="46"/>
      <c r="E14" s="46">
        <f t="shared" ref="E14:AM14" si="3">SUM(E3:E12)</f>
        <v>0</v>
      </c>
      <c r="F14" s="46">
        <f t="shared" si="3"/>
        <v>0</v>
      </c>
      <c r="G14" s="46">
        <f t="shared" si="3"/>
        <v>0</v>
      </c>
      <c r="H14" s="46">
        <f t="shared" si="3"/>
        <v>0</v>
      </c>
      <c r="I14" s="46">
        <f t="shared" si="3"/>
        <v>0</v>
      </c>
      <c r="J14" s="46">
        <f t="shared" si="3"/>
        <v>0</v>
      </c>
      <c r="K14" s="46">
        <f t="shared" si="3"/>
        <v>0</v>
      </c>
      <c r="L14" s="46">
        <f t="shared" si="3"/>
        <v>0</v>
      </c>
      <c r="M14" s="46">
        <f t="shared" si="3"/>
        <v>0</v>
      </c>
      <c r="N14" s="46">
        <f t="shared" si="3"/>
        <v>0</v>
      </c>
      <c r="O14" s="46">
        <f t="shared" si="3"/>
        <v>0</v>
      </c>
      <c r="P14" s="46">
        <f t="shared" si="3"/>
        <v>0</v>
      </c>
      <c r="Q14" s="46">
        <f t="shared" si="3"/>
        <v>0</v>
      </c>
      <c r="R14" s="46">
        <f t="shared" si="3"/>
        <v>0</v>
      </c>
      <c r="S14" s="46">
        <f t="shared" si="3"/>
        <v>0</v>
      </c>
      <c r="T14" s="46">
        <f t="shared" si="3"/>
        <v>0</v>
      </c>
      <c r="U14" s="46">
        <f t="shared" si="3"/>
        <v>0</v>
      </c>
      <c r="V14" s="46">
        <f t="shared" si="3"/>
        <v>0</v>
      </c>
      <c r="W14" s="46">
        <f t="shared" si="3"/>
        <v>0</v>
      </c>
      <c r="X14" s="46">
        <f t="shared" si="3"/>
        <v>0</v>
      </c>
      <c r="Y14" s="46">
        <f t="shared" si="3"/>
        <v>0</v>
      </c>
      <c r="Z14" s="46">
        <f t="shared" si="3"/>
        <v>5990</v>
      </c>
      <c r="AA14" s="46">
        <f t="shared" si="3"/>
        <v>6685</v>
      </c>
      <c r="AB14" s="46">
        <f t="shared" si="3"/>
        <v>9035</v>
      </c>
      <c r="AC14" s="46">
        <f t="shared" si="3"/>
        <v>11375</v>
      </c>
      <c r="AD14" s="46">
        <f t="shared" si="3"/>
        <v>7375</v>
      </c>
      <c r="AE14" s="46">
        <f t="shared" si="3"/>
        <v>9375</v>
      </c>
      <c r="AF14" s="46">
        <f t="shared" si="3"/>
        <v>7375</v>
      </c>
      <c r="AG14" s="46">
        <f t="shared" si="3"/>
        <v>7375</v>
      </c>
      <c r="AH14" s="46">
        <f t="shared" si="3"/>
        <v>7375</v>
      </c>
      <c r="AI14" s="46">
        <f t="shared" si="3"/>
        <v>11375</v>
      </c>
      <c r="AJ14" s="46">
        <f t="shared" si="3"/>
        <v>10654.78</v>
      </c>
      <c r="AK14" s="46">
        <f t="shared" si="3"/>
        <v>12834.75</v>
      </c>
      <c r="AL14" s="46">
        <f t="shared" si="3"/>
        <v>4375</v>
      </c>
      <c r="AM14" s="46">
        <f t="shared" si="3"/>
        <v>7375</v>
      </c>
    </row>
    <row r="15" spans="1:39" ht="18.75" customHeight="1" x14ac:dyDescent="0.25">
      <c r="A15" s="47" t="s">
        <v>14</v>
      </c>
      <c r="B15" s="48">
        <f t="shared" si="1"/>
        <v>0</v>
      </c>
      <c r="C15" s="48"/>
      <c r="D15" s="48"/>
      <c r="E15" s="48">
        <f>SUM(Tabela237981081011[abr/2024])</f>
        <v>0</v>
      </c>
      <c r="F15" s="48">
        <f>SUM(Tabela237981081011[mai/2024])</f>
        <v>0</v>
      </c>
      <c r="G15" s="48">
        <f>SUM(Tabela237981081011[jun/2024])</f>
        <v>0</v>
      </c>
      <c r="H15" s="48">
        <f>SUM(Tabela237981081011[jul/2024])</f>
        <v>0</v>
      </c>
      <c r="I15" s="48">
        <f>SUM(Tabela237981081011[ago/2024])</f>
        <v>0</v>
      </c>
      <c r="J15" s="48">
        <f>SUM(Tabela237981081011[set/2024])</f>
        <v>0</v>
      </c>
      <c r="K15" s="48">
        <f>SUM(Tabela237981081011[out/2024])</f>
        <v>0</v>
      </c>
      <c r="L15" s="48">
        <f>SUM(Tabela237981081011[nov/2024])</f>
        <v>0</v>
      </c>
      <c r="M15" s="48">
        <f>SUM(Tabela237981081011[dez/2024])</f>
        <v>0</v>
      </c>
      <c r="N15" s="48">
        <f>SUM(Tabela237981081011[jan/2025])</f>
        <v>0</v>
      </c>
      <c r="O15" s="48">
        <f>SUM(Tabela237981081011[fev/2025])</f>
        <v>0</v>
      </c>
      <c r="P15" s="48">
        <f>SUM(Tabela237981081011[mar/2025])</f>
        <v>0</v>
      </c>
      <c r="Q15" s="48">
        <f>SUM(Tabela237981081011[abr/2025])</f>
        <v>0</v>
      </c>
      <c r="R15" s="48">
        <f>SUM(Tabela237981081011[mai/2025])</f>
        <v>0</v>
      </c>
      <c r="S15" s="48">
        <f>SUM(Tabela237981081011[jun/2025])</f>
        <v>0</v>
      </c>
      <c r="T15" s="48">
        <f>SUM(Tabela237981081011[jul/2025])</f>
        <v>0</v>
      </c>
      <c r="U15" s="48">
        <f>SUM(Tabela237981081011[ago/2025])</f>
        <v>0</v>
      </c>
      <c r="V15" s="48">
        <f>SUM(Tabela237981081011[set/2025])</f>
        <v>0</v>
      </c>
      <c r="W15" s="48">
        <f>SUM(Tabela237981081011[out/2025])</f>
        <v>0</v>
      </c>
      <c r="X15" s="48">
        <f>SUM(Tabela237981081011[nov/2025])</f>
        <v>0</v>
      </c>
      <c r="Y15" s="48">
        <f>SUM(Tabela237981081011[dez/2025])</f>
        <v>0</v>
      </c>
      <c r="Z15" s="48">
        <f>SUM(Tabela237981081011[jan/26])</f>
        <v>6833.1399999999994</v>
      </c>
      <c r="AA15" s="48">
        <f>SUM(Tabela237981081011[fev/26])</f>
        <v>6901.0399999999991</v>
      </c>
      <c r="AB15" s="48">
        <f>SUM(Tabela237981081011[mar/26])</f>
        <v>8341.0399999999991</v>
      </c>
      <c r="AC15" s="48">
        <f>SUM(Tabela237981081011[abr/26])</f>
        <v>10536.039999999999</v>
      </c>
      <c r="AD15" s="48">
        <f>SUM(Tabela237981081011[mai/26])</f>
        <v>6716.0399999999991</v>
      </c>
      <c r="AE15" s="48">
        <f>SUM(Tabela237981081011[jun/26])</f>
        <v>10066.040000000001</v>
      </c>
      <c r="AF15" s="48">
        <f>SUM(Tabela237981081011[jul/26])</f>
        <v>7636.0399999999991</v>
      </c>
      <c r="AG15" s="48">
        <f>SUM(Tabela237981081011[ago/26])</f>
        <v>7471.0399999999991</v>
      </c>
      <c r="AH15" s="48">
        <f>SUM(Tabela237981081011[set/26])</f>
        <v>8521.0399999999991</v>
      </c>
      <c r="AI15" s="48">
        <f>SUM(Tabela237981081011[out/26])</f>
        <v>7891.0399999999991</v>
      </c>
      <c r="AJ15" s="48">
        <f>SUM(Tabela237981081011[nov/26])</f>
        <v>7471.0399999999991</v>
      </c>
      <c r="AK15" s="48">
        <f>SUM(Tabela237981081011[dez/26])</f>
        <v>10221.040000000001</v>
      </c>
      <c r="AL15" s="48">
        <f>SUM(Tabela237981081011[jan/27])</f>
        <v>7791.0399999999991</v>
      </c>
      <c r="AM15" s="48">
        <f>SUM(Tabela237981081011[fev/27])</f>
        <v>7471.0399999999991</v>
      </c>
    </row>
    <row r="16" spans="1:39" ht="18.75" customHeight="1" x14ac:dyDescent="0.25">
      <c r="A16" s="49" t="s">
        <v>15</v>
      </c>
      <c r="B16" s="50"/>
      <c r="C16" s="51"/>
      <c r="D16" s="51"/>
      <c r="E16" s="51"/>
      <c r="F16" s="51">
        <f t="shared" ref="F16:AM16" si="4">E2</f>
        <v>0</v>
      </c>
      <c r="G16" s="51">
        <f t="shared" si="4"/>
        <v>0</v>
      </c>
      <c r="H16" s="51">
        <f t="shared" si="4"/>
        <v>0</v>
      </c>
      <c r="I16" s="51">
        <f t="shared" si="4"/>
        <v>0</v>
      </c>
      <c r="J16" s="51">
        <f t="shared" si="4"/>
        <v>0</v>
      </c>
      <c r="K16" s="51">
        <f t="shared" si="4"/>
        <v>0</v>
      </c>
      <c r="L16" s="51">
        <f t="shared" si="4"/>
        <v>0</v>
      </c>
      <c r="M16" s="51">
        <f t="shared" si="4"/>
        <v>0</v>
      </c>
      <c r="N16" s="51">
        <f t="shared" si="4"/>
        <v>0</v>
      </c>
      <c r="O16" s="51">
        <f t="shared" si="4"/>
        <v>0</v>
      </c>
      <c r="P16" s="51">
        <f t="shared" si="4"/>
        <v>0</v>
      </c>
      <c r="Q16" s="51">
        <f t="shared" si="4"/>
        <v>0</v>
      </c>
      <c r="R16" s="51">
        <f t="shared" si="4"/>
        <v>0</v>
      </c>
      <c r="S16" s="51">
        <f t="shared" si="4"/>
        <v>0</v>
      </c>
      <c r="T16" s="51">
        <f t="shared" si="4"/>
        <v>0</v>
      </c>
      <c r="U16" s="51">
        <f t="shared" si="4"/>
        <v>0</v>
      </c>
      <c r="V16" s="51">
        <f>U2</f>
        <v>0</v>
      </c>
      <c r="W16" s="51">
        <f t="shared" si="4"/>
        <v>0</v>
      </c>
      <c r="X16" s="51">
        <f t="shared" si="4"/>
        <v>0</v>
      </c>
      <c r="Y16" s="51">
        <f t="shared" si="4"/>
        <v>0</v>
      </c>
      <c r="Z16" s="51">
        <f t="shared" si="4"/>
        <v>0</v>
      </c>
      <c r="AA16" s="51">
        <f t="shared" si="4"/>
        <v>-843.13999999999942</v>
      </c>
      <c r="AB16" s="51">
        <f t="shared" si="4"/>
        <v>-1059.1799999999985</v>
      </c>
      <c r="AC16" s="51">
        <f t="shared" si="4"/>
        <v>-365.21999999999753</v>
      </c>
      <c r="AD16" s="51">
        <f t="shared" si="4"/>
        <v>473.74000000000342</v>
      </c>
      <c r="AE16" s="51">
        <f t="shared" si="4"/>
        <v>1132.7000000000044</v>
      </c>
      <c r="AF16" s="51">
        <f t="shared" si="4"/>
        <v>441.66000000000349</v>
      </c>
      <c r="AG16" s="51">
        <f t="shared" si="4"/>
        <v>180.62000000000444</v>
      </c>
      <c r="AH16" s="51">
        <f t="shared" si="4"/>
        <v>84.580000000005384</v>
      </c>
      <c r="AI16" s="51">
        <f t="shared" si="4"/>
        <v>-1061.4599999999937</v>
      </c>
      <c r="AJ16" s="51">
        <f t="shared" si="4"/>
        <v>2422.5000000000073</v>
      </c>
      <c r="AK16" s="51">
        <f t="shared" si="4"/>
        <v>5606.2400000000089</v>
      </c>
      <c r="AL16" s="51">
        <f t="shared" si="4"/>
        <v>8219.950000000008</v>
      </c>
      <c r="AM16" s="51">
        <f t="shared" si="4"/>
        <v>4803.9100000000089</v>
      </c>
    </row>
    <row r="17" spans="1:39" ht="7.5" customHeight="1" x14ac:dyDescent="0.25">
      <c r="A17" s="52"/>
      <c r="B17" s="53"/>
      <c r="C17" s="54"/>
      <c r="D17" s="55"/>
      <c r="E17" s="56"/>
      <c r="F17" s="56"/>
      <c r="G17" s="56"/>
      <c r="H17" s="56"/>
      <c r="I17" s="56"/>
      <c r="J17" s="56"/>
      <c r="K17" s="56"/>
      <c r="L17" s="56"/>
      <c r="M17" s="56"/>
      <c r="N17" s="56"/>
    </row>
    <row r="18" spans="1:39" ht="24" customHeight="1" x14ac:dyDescent="0.25">
      <c r="A18" s="57" t="s">
        <v>16</v>
      </c>
      <c r="B18" s="57" t="s">
        <v>17</v>
      </c>
      <c r="C18" s="58" t="s">
        <v>18</v>
      </c>
      <c r="D18" s="59" t="s">
        <v>19</v>
      </c>
      <c r="E18" s="60" t="s">
        <v>20</v>
      </c>
      <c r="F18" s="61" t="s">
        <v>21</v>
      </c>
      <c r="G18" s="61" t="s">
        <v>22</v>
      </c>
      <c r="H18" s="61" t="s">
        <v>23</v>
      </c>
      <c r="I18" s="61" t="s">
        <v>24</v>
      </c>
      <c r="J18" s="61" t="s">
        <v>25</v>
      </c>
      <c r="K18" s="61" t="s">
        <v>26</v>
      </c>
      <c r="L18" s="61" t="s">
        <v>27</v>
      </c>
      <c r="M18" s="61" t="s">
        <v>28</v>
      </c>
      <c r="N18" s="61" t="s">
        <v>29</v>
      </c>
      <c r="O18" s="61" t="s">
        <v>30</v>
      </c>
      <c r="P18" s="61" t="s">
        <v>31</v>
      </c>
      <c r="Q18" s="61" t="s">
        <v>32</v>
      </c>
      <c r="R18" s="61" t="s">
        <v>33</v>
      </c>
      <c r="S18" s="61" t="s">
        <v>34</v>
      </c>
      <c r="T18" s="61" t="s">
        <v>35</v>
      </c>
      <c r="U18" s="61" t="s">
        <v>36</v>
      </c>
      <c r="V18" s="61" t="s">
        <v>37</v>
      </c>
      <c r="W18" s="61" t="s">
        <v>38</v>
      </c>
      <c r="X18" s="61" t="s">
        <v>39</v>
      </c>
      <c r="Y18" s="61" t="s">
        <v>40</v>
      </c>
      <c r="Z18" s="62" t="s">
        <v>41</v>
      </c>
      <c r="AA18" s="62" t="s">
        <v>42</v>
      </c>
      <c r="AB18" s="62" t="s">
        <v>43</v>
      </c>
      <c r="AC18" s="62" t="s">
        <v>44</v>
      </c>
      <c r="AD18" s="62" t="s">
        <v>45</v>
      </c>
      <c r="AE18" s="62" t="s">
        <v>46</v>
      </c>
      <c r="AF18" s="62" t="s">
        <v>47</v>
      </c>
      <c r="AG18" s="62" t="s">
        <v>48</v>
      </c>
      <c r="AH18" s="62" t="s">
        <v>49</v>
      </c>
      <c r="AI18" s="62" t="s">
        <v>50</v>
      </c>
      <c r="AJ18" s="62" t="s">
        <v>51</v>
      </c>
      <c r="AK18" s="62" t="s">
        <v>52</v>
      </c>
      <c r="AL18" s="62" t="s">
        <v>53</v>
      </c>
      <c r="AM18" s="62" t="s">
        <v>54</v>
      </c>
    </row>
    <row r="19" spans="1:39" ht="24" customHeight="1" x14ac:dyDescent="0.25">
      <c r="A19" s="63" t="s">
        <v>55</v>
      </c>
      <c r="B19" s="64">
        <f>SUM(Tabela237981081011[[#This Row],[abr/2024]:[fev/27]])</f>
        <v>1168.7</v>
      </c>
      <c r="C19" s="65" t="s">
        <v>56</v>
      </c>
      <c r="D19" s="66"/>
      <c r="E19" s="67"/>
      <c r="F19" s="67"/>
      <c r="G19" s="67"/>
      <c r="H19" s="67"/>
      <c r="I19" s="67"/>
      <c r="J19" s="67"/>
      <c r="K19" s="68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70"/>
      <c r="X19" s="69"/>
      <c r="Y19" s="69"/>
      <c r="Z19" s="69"/>
      <c r="AA19" s="69">
        <v>89.9</v>
      </c>
      <c r="AB19" s="69">
        <v>89.9</v>
      </c>
      <c r="AC19" s="69">
        <v>89.9</v>
      </c>
      <c r="AD19" s="69">
        <v>89.9</v>
      </c>
      <c r="AE19" s="69">
        <v>89.9</v>
      </c>
      <c r="AF19" s="69">
        <v>89.9</v>
      </c>
      <c r="AG19" s="69">
        <v>89.9</v>
      </c>
      <c r="AH19" s="69">
        <v>89.9</v>
      </c>
      <c r="AI19" s="69">
        <v>89.9</v>
      </c>
      <c r="AJ19" s="69">
        <v>89.9</v>
      </c>
      <c r="AK19" s="69">
        <v>89.9</v>
      </c>
      <c r="AL19" s="69">
        <v>89.9</v>
      </c>
      <c r="AM19" s="69">
        <v>89.9</v>
      </c>
    </row>
    <row r="20" spans="1:39" ht="20.100000000000001" customHeight="1" x14ac:dyDescent="0.25">
      <c r="A20" s="63" t="s">
        <v>57</v>
      </c>
      <c r="B20" s="64">
        <f>SUM(Tabela237981081011[[#This Row],[abr/2024]:[fev/27]])</f>
        <v>2800</v>
      </c>
      <c r="C20" s="65" t="s">
        <v>56</v>
      </c>
      <c r="D20" s="66"/>
      <c r="E20" s="71"/>
      <c r="F20" s="71"/>
      <c r="G20" s="71"/>
      <c r="H20" s="67"/>
      <c r="I20" s="72"/>
      <c r="J20" s="71"/>
      <c r="K20" s="67"/>
      <c r="L20" s="67"/>
      <c r="M20" s="67"/>
      <c r="N20" s="68"/>
      <c r="O20" s="67"/>
      <c r="P20" s="67"/>
      <c r="Q20" s="68"/>
      <c r="R20" s="68"/>
      <c r="S20" s="67"/>
      <c r="T20" s="67"/>
      <c r="U20" s="67"/>
      <c r="V20" s="67"/>
      <c r="W20" s="67"/>
      <c r="X20" s="67"/>
      <c r="Y20" s="68"/>
      <c r="Z20" s="73"/>
      <c r="AA20" s="73">
        <v>800</v>
      </c>
      <c r="AB20" s="73"/>
      <c r="AC20" s="73"/>
      <c r="AD20" s="73"/>
      <c r="AE20" s="73">
        <v>1000</v>
      </c>
      <c r="AF20" s="73"/>
      <c r="AG20" s="73"/>
      <c r="AH20" s="73"/>
      <c r="AI20" s="73"/>
      <c r="AJ20" s="73"/>
      <c r="AK20" s="73">
        <v>1000</v>
      </c>
      <c r="AL20" s="73"/>
      <c r="AM20" s="73"/>
    </row>
    <row r="21" spans="1:39" ht="20.100000000000001" customHeight="1" x14ac:dyDescent="0.25">
      <c r="A21" s="74" t="s">
        <v>58</v>
      </c>
      <c r="B21" s="64">
        <f>SUM(Tabela237981081011[[#This Row],[abr/2024]:[fev/27]])</f>
        <v>1680</v>
      </c>
      <c r="C21" s="65" t="s">
        <v>56</v>
      </c>
      <c r="D21" s="66"/>
      <c r="E21" s="72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73"/>
      <c r="Y21" s="73"/>
      <c r="Z21" s="73">
        <v>120</v>
      </c>
      <c r="AA21" s="73">
        <v>120</v>
      </c>
      <c r="AB21" s="73">
        <v>120</v>
      </c>
      <c r="AC21" s="73">
        <v>120</v>
      </c>
      <c r="AD21" s="73">
        <v>120</v>
      </c>
      <c r="AE21" s="73">
        <v>120</v>
      </c>
      <c r="AF21" s="73">
        <v>120</v>
      </c>
      <c r="AG21" s="73">
        <v>120</v>
      </c>
      <c r="AH21" s="73">
        <v>120</v>
      </c>
      <c r="AI21" s="73">
        <v>120</v>
      </c>
      <c r="AJ21" s="73">
        <v>120</v>
      </c>
      <c r="AK21" s="73">
        <v>120</v>
      </c>
      <c r="AL21" s="73">
        <v>120</v>
      </c>
      <c r="AM21" s="73">
        <v>120</v>
      </c>
    </row>
    <row r="22" spans="1:39" ht="20.100000000000001" customHeight="1" x14ac:dyDescent="0.25">
      <c r="A22" s="74" t="s">
        <v>59</v>
      </c>
      <c r="B22" s="64">
        <f>SUM(Tabela237981081011[[#This Row],[abr/2024]:[fev/27]])</f>
        <v>339.36000000000007</v>
      </c>
      <c r="C22" s="75"/>
      <c r="D22" s="76"/>
      <c r="E22" s="77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>
        <v>24.24</v>
      </c>
      <c r="AA22" s="68">
        <v>24.24</v>
      </c>
      <c r="AB22" s="68">
        <v>24.24</v>
      </c>
      <c r="AC22" s="68">
        <v>24.24</v>
      </c>
      <c r="AD22" s="68">
        <v>24.24</v>
      </c>
      <c r="AE22" s="68">
        <v>24.24</v>
      </c>
      <c r="AF22" s="68">
        <v>24.24</v>
      </c>
      <c r="AG22" s="68">
        <v>24.24</v>
      </c>
      <c r="AH22" s="68">
        <v>24.24</v>
      </c>
      <c r="AI22" s="68">
        <v>24.24</v>
      </c>
      <c r="AJ22" s="68">
        <v>24.24</v>
      </c>
      <c r="AK22" s="68">
        <v>24.24</v>
      </c>
      <c r="AL22" s="68">
        <v>24.24</v>
      </c>
      <c r="AM22" s="68">
        <v>24.24</v>
      </c>
    </row>
    <row r="23" spans="1:39" ht="20.100000000000001" customHeight="1" x14ac:dyDescent="0.25">
      <c r="A23" s="74" t="s">
        <v>60</v>
      </c>
      <c r="B23" s="78">
        <f>SUM(Tabela237981081011[[#This Row],[abr/2024]:[fev/27]])</f>
        <v>28600</v>
      </c>
      <c r="C23" s="79" t="s">
        <v>61</v>
      </c>
      <c r="D23" s="80"/>
      <c r="E23" s="81"/>
      <c r="F23" s="82"/>
      <c r="G23" s="83"/>
      <c r="H23" s="83"/>
      <c r="I23" s="82"/>
      <c r="J23" s="83"/>
      <c r="K23" s="82"/>
      <c r="L23" s="82"/>
      <c r="M23" s="83"/>
      <c r="N23" s="82"/>
      <c r="O23" s="82"/>
      <c r="P23" s="83"/>
      <c r="Q23" s="82"/>
      <c r="R23" s="82"/>
      <c r="S23" s="82"/>
      <c r="T23" s="82"/>
      <c r="U23" s="82"/>
      <c r="V23" s="82"/>
      <c r="W23" s="82"/>
      <c r="X23" s="82"/>
      <c r="Y23" s="82"/>
      <c r="Z23" s="84"/>
      <c r="AA23" s="84">
        <v>2200</v>
      </c>
      <c r="AB23" s="84">
        <v>2200</v>
      </c>
      <c r="AC23" s="84">
        <v>2200</v>
      </c>
      <c r="AD23" s="84">
        <v>2200</v>
      </c>
      <c r="AE23" s="84">
        <v>2200</v>
      </c>
      <c r="AF23" s="84">
        <v>2200</v>
      </c>
      <c r="AG23" s="84">
        <v>2200</v>
      </c>
      <c r="AH23" s="84">
        <v>2200</v>
      </c>
      <c r="AI23" s="84">
        <v>2200</v>
      </c>
      <c r="AJ23" s="84">
        <v>2200</v>
      </c>
      <c r="AK23" s="84">
        <v>2200</v>
      </c>
      <c r="AL23" s="84">
        <v>2200</v>
      </c>
      <c r="AM23" s="84">
        <v>2200</v>
      </c>
    </row>
    <row r="24" spans="1:39" ht="20.100000000000001" customHeight="1" x14ac:dyDescent="0.25">
      <c r="A24" s="74" t="s">
        <v>62</v>
      </c>
      <c r="B24" s="64">
        <f>SUM(Tabela237981081011[[#This Row],[abr/2024]:[fev/27]])</f>
        <v>660</v>
      </c>
      <c r="C24" s="65" t="s">
        <v>56</v>
      </c>
      <c r="D24" s="66"/>
      <c r="E24" s="85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83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>
        <v>60</v>
      </c>
      <c r="AD24" s="68">
        <v>60</v>
      </c>
      <c r="AE24" s="68">
        <v>60</v>
      </c>
      <c r="AF24" s="68">
        <v>60</v>
      </c>
      <c r="AG24" s="68">
        <v>60</v>
      </c>
      <c r="AH24" s="68">
        <v>60</v>
      </c>
      <c r="AI24" s="68">
        <v>60</v>
      </c>
      <c r="AJ24" s="68">
        <v>60</v>
      </c>
      <c r="AK24" s="68">
        <v>60</v>
      </c>
      <c r="AL24" s="68">
        <v>60</v>
      </c>
      <c r="AM24" s="68">
        <v>60</v>
      </c>
    </row>
    <row r="25" spans="1:39" ht="20.100000000000001" customHeight="1" x14ac:dyDescent="0.25">
      <c r="A25" s="63" t="s">
        <v>63</v>
      </c>
      <c r="B25" s="64">
        <f>SUM(Tabela237981081011[[#This Row],[abr/2024]:[fev/27]])</f>
        <v>770</v>
      </c>
      <c r="C25" s="65" t="s">
        <v>56</v>
      </c>
      <c r="D25" s="66"/>
      <c r="E25" s="72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>
        <v>55</v>
      </c>
      <c r="AA25" s="67">
        <v>55</v>
      </c>
      <c r="AB25" s="67">
        <v>55</v>
      </c>
      <c r="AC25" s="67">
        <v>55</v>
      </c>
      <c r="AD25" s="67">
        <v>55</v>
      </c>
      <c r="AE25" s="67">
        <v>55</v>
      </c>
      <c r="AF25" s="67">
        <v>55</v>
      </c>
      <c r="AG25" s="67">
        <v>55</v>
      </c>
      <c r="AH25" s="67">
        <v>55</v>
      </c>
      <c r="AI25" s="67">
        <v>55</v>
      </c>
      <c r="AJ25" s="67">
        <v>55</v>
      </c>
      <c r="AK25" s="67">
        <v>55</v>
      </c>
      <c r="AL25" s="67">
        <v>55</v>
      </c>
      <c r="AM25" s="67">
        <v>55</v>
      </c>
    </row>
    <row r="26" spans="1:39" ht="20.100000000000001" customHeight="1" x14ac:dyDescent="0.25">
      <c r="A26" s="63" t="s">
        <v>64</v>
      </c>
      <c r="B26" s="64">
        <f>SUM(Tabela237981081011[[#This Row],[abr/2024]:[fev/27]])</f>
        <v>1050</v>
      </c>
      <c r="C26" s="65" t="s">
        <v>56</v>
      </c>
      <c r="D26" s="66"/>
      <c r="E26" s="72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>
        <v>75</v>
      </c>
      <c r="AA26" s="67">
        <v>75</v>
      </c>
      <c r="AB26" s="67">
        <v>75</v>
      </c>
      <c r="AC26" s="67">
        <v>75</v>
      </c>
      <c r="AD26" s="67">
        <v>75</v>
      </c>
      <c r="AE26" s="67">
        <v>75</v>
      </c>
      <c r="AF26" s="67">
        <v>75</v>
      </c>
      <c r="AG26" s="67">
        <v>75</v>
      </c>
      <c r="AH26" s="67">
        <v>75</v>
      </c>
      <c r="AI26" s="67">
        <v>75</v>
      </c>
      <c r="AJ26" s="67">
        <v>75</v>
      </c>
      <c r="AK26" s="67">
        <v>75</v>
      </c>
      <c r="AL26" s="67">
        <v>75</v>
      </c>
      <c r="AM26" s="67">
        <v>75</v>
      </c>
    </row>
    <row r="27" spans="1:39" ht="20.100000000000001" customHeight="1" x14ac:dyDescent="0.25">
      <c r="A27" s="74" t="s">
        <v>65</v>
      </c>
      <c r="B27" s="64">
        <f>SUM(Tabela237981081011[[#This Row],[abr/2024]:[fev/27]])</f>
        <v>2000</v>
      </c>
      <c r="C27" s="65" t="s">
        <v>56</v>
      </c>
      <c r="D27" s="86"/>
      <c r="E27" s="85"/>
      <c r="F27" s="71"/>
      <c r="G27" s="71"/>
      <c r="H27" s="71"/>
      <c r="I27" s="71"/>
      <c r="J27" s="71"/>
      <c r="K27" s="71"/>
      <c r="L27" s="68"/>
      <c r="M27" s="68"/>
      <c r="N27" s="68"/>
      <c r="O27" s="68"/>
      <c r="P27" s="68"/>
      <c r="Q27" s="68"/>
      <c r="R27" s="68"/>
      <c r="S27" s="68"/>
      <c r="T27" s="71"/>
      <c r="U27" s="71"/>
      <c r="V27" s="68"/>
      <c r="W27" s="68"/>
      <c r="X27" s="68"/>
      <c r="Y27" s="68"/>
      <c r="Z27" s="73"/>
      <c r="AA27" s="73"/>
      <c r="AB27" s="73"/>
      <c r="AC27" s="68">
        <v>2000</v>
      </c>
      <c r="AD27" s="73"/>
      <c r="AE27" s="73"/>
      <c r="AF27" s="73"/>
      <c r="AG27" s="73"/>
      <c r="AH27" s="73"/>
      <c r="AI27" s="73"/>
      <c r="AJ27" s="73"/>
      <c r="AK27" s="73"/>
      <c r="AL27" s="73"/>
      <c r="AM27" s="73"/>
    </row>
    <row r="28" spans="1:39" ht="20.100000000000001" customHeight="1" x14ac:dyDescent="0.25">
      <c r="A28" s="63" t="s">
        <v>66</v>
      </c>
      <c r="B28" s="64">
        <f>SUM(Tabela237981081011[[#This Row],[abr/2024]:[fev/27]])</f>
        <v>300</v>
      </c>
      <c r="C28" s="65" t="s">
        <v>56</v>
      </c>
      <c r="D28" s="66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>
        <v>300</v>
      </c>
      <c r="AA28" s="87"/>
      <c r="AB28" s="87"/>
      <c r="AC28" s="87"/>
      <c r="AD28" s="87"/>
      <c r="AE28" s="87"/>
      <c r="AF28" s="87"/>
      <c r="AG28" s="87"/>
      <c r="AH28" s="87"/>
      <c r="AI28" s="87"/>
      <c r="AJ28" s="87"/>
      <c r="AK28" s="87"/>
      <c r="AL28" s="87"/>
      <c r="AM28" s="87"/>
    </row>
    <row r="29" spans="1:39" ht="20.100000000000001" customHeight="1" x14ac:dyDescent="0.25">
      <c r="A29" s="63" t="s">
        <v>67</v>
      </c>
      <c r="B29" s="64">
        <f>SUM(Tabela237981081011[[#This Row],[abr/2024]:[fev/27]])</f>
        <v>870</v>
      </c>
      <c r="C29" s="65" t="s">
        <v>56</v>
      </c>
      <c r="D29" s="66"/>
      <c r="E29" s="72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87"/>
      <c r="Q29" s="67"/>
      <c r="R29" s="67"/>
      <c r="S29" s="67"/>
      <c r="T29" s="67"/>
      <c r="U29" s="67"/>
      <c r="V29" s="67"/>
      <c r="W29" s="67"/>
      <c r="X29" s="67"/>
      <c r="Y29" s="67"/>
      <c r="Z29" s="73"/>
      <c r="AA29" s="67">
        <v>145</v>
      </c>
      <c r="AB29" s="67">
        <v>145</v>
      </c>
      <c r="AC29" s="67">
        <v>145</v>
      </c>
      <c r="AD29" s="67">
        <v>145</v>
      </c>
      <c r="AE29" s="67">
        <v>145</v>
      </c>
      <c r="AF29" s="67">
        <v>145</v>
      </c>
      <c r="AG29" s="73"/>
      <c r="AH29" s="73"/>
      <c r="AI29" s="73"/>
      <c r="AJ29" s="73"/>
      <c r="AK29" s="73"/>
      <c r="AL29" s="73"/>
      <c r="AM29" s="73"/>
    </row>
    <row r="30" spans="1:39" s="94" customFormat="1" ht="20.100000000000001" customHeight="1" x14ac:dyDescent="0.25">
      <c r="A30" s="63" t="s">
        <v>68</v>
      </c>
      <c r="B30" s="88">
        <f>SUM(Tabela237981081011[[#This Row],[abr/2024]:[fev/27]])</f>
        <v>1285</v>
      </c>
      <c r="C30" s="89"/>
      <c r="D30" s="90"/>
      <c r="E30" s="91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>
        <v>45</v>
      </c>
      <c r="AB30" s="92">
        <v>45</v>
      </c>
      <c r="AC30" s="92">
        <v>45</v>
      </c>
      <c r="AD30" s="92">
        <v>45</v>
      </c>
      <c r="AE30" s="92">
        <v>45</v>
      </c>
      <c r="AF30" s="92">
        <v>45</v>
      </c>
      <c r="AG30" s="93">
        <v>145</v>
      </c>
      <c r="AH30" s="93">
        <v>145</v>
      </c>
      <c r="AI30" s="93">
        <v>145</v>
      </c>
      <c r="AJ30" s="93">
        <v>145</v>
      </c>
      <c r="AK30" s="93">
        <v>145</v>
      </c>
      <c r="AL30" s="93">
        <v>145</v>
      </c>
      <c r="AM30" s="93">
        <v>145</v>
      </c>
    </row>
    <row r="31" spans="1:39" ht="20.100000000000001" customHeight="1" x14ac:dyDescent="0.25">
      <c r="A31" s="74" t="s">
        <v>69</v>
      </c>
      <c r="B31" s="64">
        <f>SUM(Tabela237981081011[[#This Row],[abr/2024]:[fev/27]])</f>
        <v>1940</v>
      </c>
      <c r="C31" s="75"/>
      <c r="D31" s="76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>
        <v>500</v>
      </c>
      <c r="AB31" s="68">
        <v>120</v>
      </c>
      <c r="AC31" s="68">
        <v>120</v>
      </c>
      <c r="AD31" s="68">
        <v>120</v>
      </c>
      <c r="AE31" s="68">
        <v>120</v>
      </c>
      <c r="AF31" s="68">
        <v>120</v>
      </c>
      <c r="AG31" s="68">
        <v>120</v>
      </c>
      <c r="AH31" s="68">
        <v>120</v>
      </c>
      <c r="AI31" s="68">
        <v>120</v>
      </c>
      <c r="AJ31" s="68">
        <v>120</v>
      </c>
      <c r="AK31" s="68">
        <v>120</v>
      </c>
      <c r="AL31" s="68">
        <v>120</v>
      </c>
      <c r="AM31" s="68">
        <v>120</v>
      </c>
    </row>
    <row r="32" spans="1:39" ht="20.100000000000001" customHeight="1" x14ac:dyDescent="0.25">
      <c r="A32" s="74" t="s">
        <v>70</v>
      </c>
      <c r="B32" s="64">
        <f>SUM(Tabela237981081011[[#This Row],[abr/2024]:[fev/27]])</f>
        <v>7200</v>
      </c>
      <c r="C32" s="65" t="s">
        <v>71</v>
      </c>
      <c r="D32" s="66"/>
      <c r="E32" s="72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73"/>
      <c r="AA32" s="73"/>
      <c r="AB32" s="73"/>
      <c r="AC32" s="73"/>
      <c r="AD32" s="73"/>
      <c r="AE32" s="73">
        <v>800</v>
      </c>
      <c r="AF32" s="73">
        <v>800</v>
      </c>
      <c r="AG32" s="73">
        <v>800</v>
      </c>
      <c r="AH32" s="73">
        <v>800</v>
      </c>
      <c r="AI32" s="73">
        <v>800</v>
      </c>
      <c r="AJ32" s="73">
        <v>800</v>
      </c>
      <c r="AK32" s="73">
        <v>800</v>
      </c>
      <c r="AL32" s="73">
        <v>800</v>
      </c>
      <c r="AM32" s="73">
        <v>800</v>
      </c>
    </row>
    <row r="33" spans="1:39" ht="20.100000000000001" customHeight="1" x14ac:dyDescent="0.25">
      <c r="A33" s="74" t="s">
        <v>72</v>
      </c>
      <c r="B33" s="64">
        <f>SUM(Tabela237981081011[[#This Row],[abr/2024]:[fev/27]])</f>
        <v>3300</v>
      </c>
      <c r="C33" s="75"/>
      <c r="D33" s="76"/>
      <c r="E33" s="77"/>
      <c r="F33" s="77"/>
      <c r="G33" s="68"/>
      <c r="H33" s="68"/>
      <c r="I33" s="68"/>
      <c r="J33" s="68"/>
      <c r="K33" s="68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73"/>
      <c r="AA33" s="73"/>
      <c r="AB33" s="73"/>
      <c r="AC33" s="73"/>
      <c r="AD33" s="73"/>
      <c r="AE33" s="73">
        <v>1500</v>
      </c>
      <c r="AF33" s="73"/>
      <c r="AG33" s="73"/>
      <c r="AH33" s="73">
        <v>1000</v>
      </c>
      <c r="AI33" s="73">
        <v>300</v>
      </c>
      <c r="AJ33" s="73"/>
      <c r="AK33" s="73">
        <v>500</v>
      </c>
      <c r="AL33" s="73"/>
      <c r="AM33" s="73"/>
    </row>
    <row r="34" spans="1:39" ht="20.100000000000001" customHeight="1" x14ac:dyDescent="0.25">
      <c r="A34" s="63" t="s">
        <v>73</v>
      </c>
      <c r="B34" s="64">
        <f>SUM(Tabela237981081011[[#This Row],[abr/2024]:[fev/27]])</f>
        <v>18400</v>
      </c>
      <c r="C34" s="65" t="s">
        <v>74</v>
      </c>
      <c r="D34" s="66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>
        <v>1300</v>
      </c>
      <c r="AB34" s="67">
        <v>1300</v>
      </c>
      <c r="AC34" s="67">
        <v>2800</v>
      </c>
      <c r="AD34" s="67">
        <v>1300</v>
      </c>
      <c r="AE34" s="67">
        <v>1300</v>
      </c>
      <c r="AF34" s="67">
        <v>1300</v>
      </c>
      <c r="AG34" s="67">
        <v>1300</v>
      </c>
      <c r="AH34" s="67">
        <v>1300</v>
      </c>
      <c r="AI34" s="67">
        <v>1300</v>
      </c>
      <c r="AJ34" s="67">
        <v>1300</v>
      </c>
      <c r="AK34" s="67">
        <v>1300</v>
      </c>
      <c r="AL34" s="67">
        <v>1300</v>
      </c>
      <c r="AM34" s="67">
        <v>1300</v>
      </c>
    </row>
    <row r="35" spans="1:39" ht="20.100000000000001" customHeight="1" x14ac:dyDescent="0.25">
      <c r="A35" s="63" t="s">
        <v>75</v>
      </c>
      <c r="B35" s="64">
        <f>SUM(Tabela237981081011[[#This Row],[abr/2024]:[fev/27]])</f>
        <v>600</v>
      </c>
      <c r="C35" s="65" t="s">
        <v>56</v>
      </c>
      <c r="D35" s="66"/>
      <c r="E35" s="85"/>
      <c r="F35" s="67"/>
      <c r="G35" s="67"/>
      <c r="H35" s="67"/>
      <c r="I35" s="67"/>
      <c r="J35" s="68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8"/>
      <c r="X35" s="67"/>
      <c r="Y35" s="68"/>
      <c r="Z35" s="67">
        <v>120</v>
      </c>
      <c r="AA35" s="73"/>
      <c r="AB35" s="73"/>
      <c r="AC35" s="73">
        <v>120</v>
      </c>
      <c r="AD35" s="73"/>
      <c r="AE35" s="73"/>
      <c r="AF35" s="73">
        <v>120</v>
      </c>
      <c r="AG35" s="73"/>
      <c r="AH35" s="73"/>
      <c r="AI35" s="73">
        <v>120</v>
      </c>
      <c r="AJ35" s="73"/>
      <c r="AK35" s="73"/>
      <c r="AL35" s="73">
        <v>120</v>
      </c>
      <c r="AM35" s="73"/>
    </row>
    <row r="36" spans="1:39" ht="20.100000000000001" customHeight="1" x14ac:dyDescent="0.25">
      <c r="A36" s="63" t="s">
        <v>76</v>
      </c>
      <c r="B36" s="64">
        <f>SUM(Tabela237981081011[[#This Row],[abr/2024]:[fev/27]])</f>
        <v>1818.6000000000006</v>
      </c>
      <c r="C36" s="65" t="s">
        <v>56</v>
      </c>
      <c r="D36" s="66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8"/>
      <c r="W36" s="67"/>
      <c r="X36" s="68"/>
      <c r="Y36" s="67"/>
      <c r="Z36" s="67">
        <v>129.9</v>
      </c>
      <c r="AA36" s="67">
        <v>129.9</v>
      </c>
      <c r="AB36" s="67">
        <v>129.9</v>
      </c>
      <c r="AC36" s="67">
        <v>129.9</v>
      </c>
      <c r="AD36" s="67">
        <v>129.9</v>
      </c>
      <c r="AE36" s="67">
        <v>129.9</v>
      </c>
      <c r="AF36" s="67">
        <v>129.9</v>
      </c>
      <c r="AG36" s="67">
        <v>129.9</v>
      </c>
      <c r="AH36" s="67">
        <v>129.9</v>
      </c>
      <c r="AI36" s="67">
        <v>129.9</v>
      </c>
      <c r="AJ36" s="67">
        <v>129.9</v>
      </c>
      <c r="AK36" s="67">
        <v>129.9</v>
      </c>
      <c r="AL36" s="67">
        <v>129.9</v>
      </c>
      <c r="AM36" s="67">
        <v>129.9</v>
      </c>
    </row>
    <row r="37" spans="1:39" ht="20.100000000000001" customHeight="1" x14ac:dyDescent="0.25">
      <c r="A37" s="63" t="s">
        <v>77</v>
      </c>
      <c r="B37" s="64">
        <f>SUM(Tabela237981081011[[#This Row],[abr/2024]:[fev/27]])</f>
        <v>785</v>
      </c>
      <c r="C37" s="65" t="s">
        <v>56</v>
      </c>
      <c r="D37" s="66"/>
      <c r="E37" s="85"/>
      <c r="F37" s="68"/>
      <c r="G37" s="68"/>
      <c r="H37" s="68"/>
      <c r="I37" s="71"/>
      <c r="J37" s="71"/>
      <c r="K37" s="71"/>
      <c r="L37" s="71"/>
      <c r="M37" s="71"/>
      <c r="N37" s="71"/>
      <c r="O37" s="71"/>
      <c r="P37" s="68"/>
      <c r="Q37" s="71"/>
      <c r="R37" s="68"/>
      <c r="S37" s="71"/>
      <c r="T37" s="71"/>
      <c r="U37" s="71"/>
      <c r="V37" s="71"/>
      <c r="W37" s="68"/>
      <c r="X37" s="68"/>
      <c r="Y37" s="68"/>
      <c r="Z37" s="73"/>
      <c r="AA37" s="73"/>
      <c r="AB37" s="73">
        <v>385</v>
      </c>
      <c r="AC37" s="73">
        <v>200</v>
      </c>
      <c r="AD37" s="73"/>
      <c r="AE37" s="73"/>
      <c r="AF37" s="73"/>
      <c r="AG37" s="73"/>
      <c r="AH37" s="73"/>
      <c r="AI37" s="73"/>
      <c r="AJ37" s="73"/>
      <c r="AK37" s="73"/>
      <c r="AL37" s="73">
        <v>200</v>
      </c>
      <c r="AM37" s="73"/>
    </row>
    <row r="38" spans="1:39" ht="20.100000000000001" customHeight="1" x14ac:dyDescent="0.25">
      <c r="A38" s="63" t="s">
        <v>78</v>
      </c>
      <c r="B38" s="64">
        <f>SUM(Tabela237981081011[[#This Row],[abr/2024]:[fev/27]])</f>
        <v>0</v>
      </c>
      <c r="C38" s="65" t="s">
        <v>56</v>
      </c>
      <c r="D38" s="66"/>
      <c r="E38" s="85"/>
      <c r="F38" s="71"/>
      <c r="G38" s="68"/>
      <c r="H38" s="71"/>
      <c r="I38" s="67"/>
      <c r="J38" s="67"/>
      <c r="K38" s="67"/>
      <c r="L38" s="67"/>
      <c r="M38" s="67"/>
      <c r="N38" s="68"/>
      <c r="O38" s="67"/>
      <c r="P38" s="67"/>
      <c r="Q38" s="67"/>
      <c r="R38" s="71"/>
      <c r="S38" s="68"/>
      <c r="T38" s="71"/>
      <c r="U38" s="71"/>
      <c r="V38" s="71"/>
      <c r="W38" s="71"/>
      <c r="X38" s="71"/>
      <c r="Y38" s="71"/>
      <c r="Z38" s="73"/>
      <c r="AA38" s="73"/>
      <c r="AB38" s="73"/>
      <c r="AC38" s="84"/>
      <c r="AD38" s="73"/>
      <c r="AE38" s="73"/>
      <c r="AF38" s="73"/>
      <c r="AG38" s="73"/>
      <c r="AH38" s="73"/>
      <c r="AI38" s="73"/>
      <c r="AJ38" s="73"/>
      <c r="AK38" s="73"/>
      <c r="AL38" s="73"/>
      <c r="AM38" s="73"/>
    </row>
    <row r="39" spans="1:39" ht="20.100000000000001" customHeight="1" x14ac:dyDescent="0.25">
      <c r="A39" s="74" t="s">
        <v>79</v>
      </c>
      <c r="B39" s="64">
        <f>SUM(Tabela237981081011[[#This Row],[abr/2024]:[fev/27]])</f>
        <v>200</v>
      </c>
      <c r="C39" s="75"/>
      <c r="D39" s="76"/>
      <c r="E39" s="77"/>
      <c r="F39" s="96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73"/>
      <c r="AA39" s="73"/>
      <c r="AB39" s="73">
        <v>50</v>
      </c>
      <c r="AC39" s="73"/>
      <c r="AD39" s="73"/>
      <c r="AE39" s="73">
        <v>50</v>
      </c>
      <c r="AF39" s="73"/>
      <c r="AG39" s="73"/>
      <c r="AH39" s="73">
        <v>50</v>
      </c>
      <c r="AI39" s="73"/>
      <c r="AJ39" s="73"/>
      <c r="AK39" s="73">
        <v>50</v>
      </c>
      <c r="AL39" s="73"/>
      <c r="AM39" s="73"/>
    </row>
    <row r="40" spans="1:39" ht="20.100000000000001" customHeight="1" x14ac:dyDescent="0.25">
      <c r="A40" s="63" t="s">
        <v>80</v>
      </c>
      <c r="B40" s="64">
        <f>SUM(Tabela237981081011[[#This Row],[abr/2024]:[fev/27]])</f>
        <v>0</v>
      </c>
      <c r="C40" s="65" t="s">
        <v>56</v>
      </c>
      <c r="D40" s="66"/>
      <c r="E40" s="85"/>
      <c r="F40" s="71"/>
      <c r="G40" s="68"/>
      <c r="H40" s="71"/>
      <c r="I40" s="71"/>
      <c r="J40" s="71"/>
      <c r="K40" s="71"/>
      <c r="L40" s="71"/>
      <c r="M40" s="71"/>
      <c r="N40" s="71"/>
      <c r="O40" s="71"/>
      <c r="P40" s="71"/>
      <c r="Q40" s="68"/>
      <c r="R40" s="71"/>
      <c r="S40" s="71"/>
      <c r="T40" s="71"/>
      <c r="U40" s="71"/>
      <c r="V40" s="71"/>
      <c r="W40" s="71"/>
      <c r="X40" s="71"/>
      <c r="Y40" s="71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</row>
    <row r="41" spans="1:39" ht="20.100000000000001" customHeight="1" x14ac:dyDescent="0.25">
      <c r="A41" s="74" t="s">
        <v>81</v>
      </c>
      <c r="B41" s="64">
        <f>SUM(Tabela237981081011[[#This Row],[abr/2024]:[fev/27]])</f>
        <v>3200</v>
      </c>
      <c r="C41" s="65" t="s">
        <v>61</v>
      </c>
      <c r="D41" s="66"/>
      <c r="E41" s="8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68"/>
      <c r="Z41" s="71">
        <v>2000</v>
      </c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>
        <v>1200</v>
      </c>
      <c r="AL41" s="73"/>
      <c r="AM41" s="73"/>
    </row>
    <row r="42" spans="1:39" ht="20.100000000000001" customHeight="1" x14ac:dyDescent="0.25">
      <c r="A42" s="74" t="s">
        <v>82</v>
      </c>
      <c r="B42" s="64">
        <f>SUM(Tabela237981081011[[#This Row],[abr/2024]:[fev/27]])</f>
        <v>125</v>
      </c>
      <c r="C42" s="75"/>
      <c r="D42" s="76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73"/>
      <c r="AA42" s="73">
        <v>125</v>
      </c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</row>
    <row r="43" spans="1:39" ht="20.100000000000001" customHeight="1" x14ac:dyDescent="0.25">
      <c r="A43" s="74" t="s">
        <v>83</v>
      </c>
      <c r="B43" s="64">
        <f>SUM(Tabela237981081011[[#This Row],[abr/2024]:[fev/27]])</f>
        <v>630</v>
      </c>
      <c r="C43" s="65" t="s">
        <v>56</v>
      </c>
      <c r="D43" s="66"/>
      <c r="E43" s="8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>
        <v>45</v>
      </c>
      <c r="AA43" s="71">
        <v>45</v>
      </c>
      <c r="AB43" s="71">
        <v>45</v>
      </c>
      <c r="AC43" s="71">
        <v>45</v>
      </c>
      <c r="AD43" s="71">
        <v>45</v>
      </c>
      <c r="AE43" s="71">
        <v>45</v>
      </c>
      <c r="AF43" s="71">
        <v>45</v>
      </c>
      <c r="AG43" s="71">
        <v>45</v>
      </c>
      <c r="AH43" s="71">
        <v>45</v>
      </c>
      <c r="AI43" s="71">
        <v>45</v>
      </c>
      <c r="AJ43" s="71">
        <v>45</v>
      </c>
      <c r="AK43" s="71">
        <v>45</v>
      </c>
      <c r="AL43" s="71">
        <v>45</v>
      </c>
      <c r="AM43" s="71">
        <v>45</v>
      </c>
    </row>
    <row r="44" spans="1:39" ht="20.100000000000001" customHeight="1" x14ac:dyDescent="0.25">
      <c r="A44" s="74" t="s">
        <v>84</v>
      </c>
      <c r="B44" s="64">
        <f>SUM(Tabela237981081011[[#This Row],[abr/2024]:[fev/27]])</f>
        <v>2400</v>
      </c>
      <c r="C44" s="65" t="s">
        <v>56</v>
      </c>
      <c r="D44" s="66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>
        <v>200</v>
      </c>
      <c r="AC44" s="71">
        <v>200</v>
      </c>
      <c r="AD44" s="71">
        <v>200</v>
      </c>
      <c r="AE44" s="71">
        <v>200</v>
      </c>
      <c r="AF44" s="71">
        <v>200</v>
      </c>
      <c r="AG44" s="71">
        <v>200</v>
      </c>
      <c r="AH44" s="71">
        <v>200</v>
      </c>
      <c r="AI44" s="71">
        <v>200</v>
      </c>
      <c r="AJ44" s="71">
        <v>200</v>
      </c>
      <c r="AK44" s="71">
        <v>200</v>
      </c>
      <c r="AL44" s="71">
        <v>200</v>
      </c>
      <c r="AM44" s="71">
        <v>200</v>
      </c>
    </row>
    <row r="45" spans="1:39" ht="20.100000000000001" customHeight="1" x14ac:dyDescent="0.25">
      <c r="A45" s="74" t="s">
        <v>85</v>
      </c>
      <c r="B45" s="64">
        <f>SUM(Tabela237981081011[[#This Row],[abr/2024]:[fev/27]])</f>
        <v>140</v>
      </c>
      <c r="C45" s="65" t="s">
        <v>56</v>
      </c>
      <c r="D45" s="66"/>
      <c r="E45" s="71"/>
      <c r="F45" s="71"/>
      <c r="G45" s="71"/>
      <c r="H45" s="71"/>
      <c r="I45" s="71"/>
      <c r="J45" s="71"/>
      <c r="K45" s="71"/>
      <c r="L45" s="68"/>
      <c r="M45" s="71"/>
      <c r="N45" s="71"/>
      <c r="O45" s="71"/>
      <c r="P45" s="68"/>
      <c r="Q45" s="71"/>
      <c r="R45" s="71"/>
      <c r="S45" s="71"/>
      <c r="T45" s="71"/>
      <c r="U45" s="71"/>
      <c r="V45" s="71"/>
      <c r="W45" s="71"/>
      <c r="X45" s="71"/>
      <c r="Y45" s="71"/>
      <c r="Z45" s="73"/>
      <c r="AA45" s="73">
        <v>140</v>
      </c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</row>
    <row r="46" spans="1:39" ht="20.100000000000001" customHeight="1" x14ac:dyDescent="0.25">
      <c r="A46" s="74" t="s">
        <v>86</v>
      </c>
      <c r="B46" s="64">
        <f>SUM(Tabela237981081011[[#This Row],[abr/2024]:[fev/27]])</f>
        <v>650</v>
      </c>
      <c r="C46" s="65" t="s">
        <v>71</v>
      </c>
      <c r="D46" s="66"/>
      <c r="E46" s="67"/>
      <c r="F46" s="67"/>
      <c r="G46" s="67"/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  <c r="AA46" s="67">
        <v>50</v>
      </c>
      <c r="AB46" s="67">
        <v>50</v>
      </c>
      <c r="AC46" s="67">
        <v>50</v>
      </c>
      <c r="AD46" s="67">
        <v>50</v>
      </c>
      <c r="AE46" s="67">
        <v>50</v>
      </c>
      <c r="AF46" s="67">
        <v>50</v>
      </c>
      <c r="AG46" s="67">
        <v>50</v>
      </c>
      <c r="AH46" s="67">
        <v>50</v>
      </c>
      <c r="AI46" s="67">
        <v>50</v>
      </c>
      <c r="AJ46" s="67">
        <v>50</v>
      </c>
      <c r="AK46" s="67">
        <v>50</v>
      </c>
      <c r="AL46" s="67">
        <v>50</v>
      </c>
      <c r="AM46" s="67">
        <v>50</v>
      </c>
    </row>
    <row r="47" spans="1:39" ht="20.100000000000001" customHeight="1" x14ac:dyDescent="0.25">
      <c r="A47" s="63" t="s">
        <v>87</v>
      </c>
      <c r="B47" s="64">
        <f>SUM(Tabela237981081011[[#This Row],[abr/2024]:[fev/27]])</f>
        <v>28000</v>
      </c>
      <c r="C47" s="75" t="s">
        <v>56</v>
      </c>
      <c r="D47" s="66"/>
      <c r="E47" s="72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>
        <v>2000</v>
      </c>
      <c r="AA47" s="67">
        <v>1000</v>
      </c>
      <c r="AB47" s="67">
        <v>3000</v>
      </c>
      <c r="AC47" s="67">
        <v>2000</v>
      </c>
      <c r="AD47" s="67">
        <v>2000</v>
      </c>
      <c r="AE47" s="67">
        <v>2000</v>
      </c>
      <c r="AF47" s="67">
        <v>2000</v>
      </c>
      <c r="AG47" s="67">
        <v>2000</v>
      </c>
      <c r="AH47" s="67">
        <v>2000</v>
      </c>
      <c r="AI47" s="67">
        <v>2000</v>
      </c>
      <c r="AJ47" s="67">
        <v>2000</v>
      </c>
      <c r="AK47" s="67">
        <v>2000</v>
      </c>
      <c r="AL47" s="67">
        <v>2000</v>
      </c>
      <c r="AM47" s="67">
        <v>2000</v>
      </c>
    </row>
    <row r="48" spans="1:39" ht="20.100000000000001" customHeight="1" x14ac:dyDescent="0.25">
      <c r="A48" s="63" t="s">
        <v>88</v>
      </c>
      <c r="B48" s="97">
        <f>SUM(Tabela237981081011[[#This Row],[abr/2024]:[fev/27]])</f>
        <v>850</v>
      </c>
      <c r="C48" s="75"/>
      <c r="D48" s="9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73">
        <v>850</v>
      </c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</row>
    <row r="49" spans="1:39" ht="21" customHeight="1" x14ac:dyDescent="0.25">
      <c r="A49" s="63" t="s">
        <v>89</v>
      </c>
      <c r="B49" s="64">
        <f>SUM(Tabela237981081011[[#This Row],[abr/2024]:[fev/27]])</f>
        <v>250</v>
      </c>
      <c r="C49" s="75"/>
      <c r="D49" s="76"/>
      <c r="E49" s="77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99"/>
      <c r="Y49" s="68"/>
      <c r="Z49" s="100"/>
      <c r="AA49" s="68"/>
      <c r="AB49" s="68">
        <v>250</v>
      </c>
      <c r="AC49" s="100"/>
      <c r="AD49" s="100"/>
      <c r="AE49" s="100"/>
      <c r="AF49" s="100"/>
      <c r="AG49" s="100"/>
      <c r="AH49" s="100"/>
      <c r="AI49" s="100"/>
      <c r="AJ49" s="100"/>
      <c r="AK49" s="100"/>
      <c r="AL49" s="100"/>
      <c r="AM49" s="100"/>
    </row>
    <row r="50" spans="1:39" x14ac:dyDescent="0.25">
      <c r="A50" s="74" t="s">
        <v>90</v>
      </c>
      <c r="B50" s="97">
        <f>SUM(Tabela237981081011[[#This Row],[abr/2024]:[fev/27]])</f>
        <v>855</v>
      </c>
      <c r="C50" s="75"/>
      <c r="D50" s="9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73">
        <v>114</v>
      </c>
      <c r="AA50" s="73">
        <v>57</v>
      </c>
      <c r="AB50" s="73">
        <v>57</v>
      </c>
      <c r="AC50" s="73">
        <v>57</v>
      </c>
      <c r="AD50" s="73">
        <v>57</v>
      </c>
      <c r="AE50" s="73">
        <v>57</v>
      </c>
      <c r="AF50" s="73">
        <v>57</v>
      </c>
      <c r="AG50" s="73">
        <v>57</v>
      </c>
      <c r="AH50" s="73">
        <v>57</v>
      </c>
      <c r="AI50" s="73">
        <v>57</v>
      </c>
      <c r="AJ50" s="73">
        <v>57</v>
      </c>
      <c r="AK50" s="73">
        <v>57</v>
      </c>
      <c r="AL50" s="73">
        <v>57</v>
      </c>
      <c r="AM50" s="73">
        <v>57</v>
      </c>
    </row>
    <row r="51" spans="1:39" x14ac:dyDescent="0.25">
      <c r="A51" s="63" t="s">
        <v>91</v>
      </c>
      <c r="B51" s="97">
        <f>SUM(Tabela237981081011[[#This Row],[abr/2024]:[fev/27]])</f>
        <v>1000</v>
      </c>
      <c r="C51" s="75"/>
      <c r="D51" s="9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99"/>
      <c r="Z51" s="68">
        <v>1000</v>
      </c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</row>
    <row r="52" spans="1:39" ht="15.75" thickBot="1" x14ac:dyDescent="0.3">
      <c r="A52" s="101"/>
      <c r="B52" s="102"/>
      <c r="C52" s="103"/>
      <c r="D52" s="104"/>
      <c r="E52" s="105">
        <f>SUBTOTAL(109,Tabela237981081011[abr/2024])</f>
        <v>0</v>
      </c>
      <c r="F52" s="105">
        <f>SUBTOTAL(109,Tabela237981081011[mai/2024])</f>
        <v>0</v>
      </c>
      <c r="G52" s="105">
        <f>SUBTOTAL(109,Tabela237981081011[jun/2024])</f>
        <v>0</v>
      </c>
      <c r="H52" s="105">
        <f>SUBTOTAL(109,Tabela237981081011[jul/2024])</f>
        <v>0</v>
      </c>
      <c r="I52" s="105">
        <f>SUBTOTAL(109,Tabela237981081011[ago/2024])</f>
        <v>0</v>
      </c>
      <c r="J52" s="105">
        <f>SUBTOTAL(109,Tabela237981081011[set/2024])</f>
        <v>0</v>
      </c>
      <c r="K52" s="105">
        <f>SUBTOTAL(109,Tabela237981081011[out/2024])</f>
        <v>0</v>
      </c>
      <c r="L52" s="105">
        <f>SUBTOTAL(109,Tabela237981081011[nov/2024])</f>
        <v>0</v>
      </c>
      <c r="M52" s="105">
        <f>SUBTOTAL(109,Tabela237981081011[dez/2024])</f>
        <v>0</v>
      </c>
      <c r="N52" s="105">
        <f>SUBTOTAL(109,Tabela237981081011[jan/2025])</f>
        <v>0</v>
      </c>
      <c r="O52" s="105">
        <f>SUBTOTAL(109,Tabela237981081011[fev/2025])</f>
        <v>0</v>
      </c>
      <c r="P52" s="105">
        <f>SUBTOTAL(109,Tabela237981081011[mar/2025])</f>
        <v>0</v>
      </c>
      <c r="Q52" s="105">
        <f>SUBTOTAL(109,Tabela237981081011[abr/2025])</f>
        <v>0</v>
      </c>
      <c r="R52" s="105">
        <f>SUBTOTAL(109,Tabela237981081011[mai/2025])</f>
        <v>0</v>
      </c>
      <c r="S52" s="105">
        <f>SUBTOTAL(109,Tabela237981081011[jun/2025])</f>
        <v>0</v>
      </c>
      <c r="T52" s="105">
        <f>SUBTOTAL(109,Tabela237981081011[jul/2025])</f>
        <v>0</v>
      </c>
      <c r="U52" s="105">
        <f>SUBTOTAL(109,Tabela237981081011[ago/2025])</f>
        <v>0</v>
      </c>
      <c r="V52" s="105">
        <f>SUBTOTAL(109,Tabela237981081011[set/2025])</f>
        <v>0</v>
      </c>
      <c r="W52" s="105">
        <f>SUBTOTAL(109,Tabela237981081011[out/2025])</f>
        <v>0</v>
      </c>
      <c r="X52" s="105">
        <f>SUBTOTAL(109,Tabela237981081011[nov/2025])</f>
        <v>0</v>
      </c>
      <c r="Y52" s="105">
        <f>SUBTOTAL(109,Tabela237981081011[dez/2025])</f>
        <v>0</v>
      </c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1"/>
      <c r="AL52" s="101"/>
      <c r="AM52" s="101"/>
    </row>
    <row r="53" spans="1:39" ht="15.75" thickTop="1" x14ac:dyDescent="0.25"/>
    <row r="55" spans="1:39" x14ac:dyDescent="0.25">
      <c r="C55" t="s">
        <v>92</v>
      </c>
      <c r="D55" s="106" t="s">
        <v>93</v>
      </c>
    </row>
    <row r="56" spans="1:39" x14ac:dyDescent="0.25">
      <c r="C56" s="107" t="s">
        <v>94</v>
      </c>
      <c r="D56" s="108">
        <v>6.4835719665167759E-3</v>
      </c>
    </row>
    <row r="57" spans="1:39" x14ac:dyDescent="0.25">
      <c r="C57" s="107" t="s">
        <v>56</v>
      </c>
      <c r="D57" s="108">
        <v>0.86744697312899033</v>
      </c>
    </row>
    <row r="58" spans="1:39" x14ac:dyDescent="0.25">
      <c r="C58" s="107" t="s">
        <v>95</v>
      </c>
      <c r="D58" s="108">
        <v>0.12606945490449287</v>
      </c>
    </row>
    <row r="59" spans="1:39" x14ac:dyDescent="0.25">
      <c r="C59" s="107" t="s">
        <v>96</v>
      </c>
      <c r="D59" s="108">
        <v>1</v>
      </c>
    </row>
  </sheetData>
  <conditionalFormatting sqref="C2:H2 J2:AM2">
    <cfRule type="cellIs" dxfId="87" priority="4" operator="greaterThan">
      <formula>0</formula>
    </cfRule>
    <cfRule type="cellIs" dxfId="86" priority="5" operator="equal">
      <formula>0</formula>
    </cfRule>
    <cfRule type="cellIs" dxfId="85" priority="6" operator="lessThan">
      <formula>0</formula>
    </cfRule>
  </conditionalFormatting>
  <conditionalFormatting sqref="A1:B1">
    <cfRule type="cellIs" dxfId="84" priority="1" operator="greaterThan">
      <formula>0</formula>
    </cfRule>
    <cfRule type="cellIs" dxfId="83" priority="2" operator="equal">
      <formula>0</formula>
    </cfRule>
    <cfRule type="cellIs" dxfId="82" priority="3" operator="lessThan">
      <formula>0</formula>
    </cfRule>
  </conditionalFormatting>
  <dataValidations count="2">
    <dataValidation type="list" allowBlank="1" showInputMessage="1" showErrorMessage="1" sqref="D47:D48" xr:uid="{3A0BC144-758B-457F-B7DB-936E1552A6E8}">
      <formula1>"ESSENCIAL,EDUCAÇÃO,O QUE QUISER,METAS,APOSENTADORIA"</formula1>
    </dataValidation>
    <dataValidation type="list" allowBlank="1" showInputMessage="1" showErrorMessage="1" sqref="C19:C51" xr:uid="{1C680616-77F8-473F-A5C0-86AC7685D3D6}">
      <formula1>#REF!</formula1>
    </dataValidation>
  </dataValidations>
  <pageMargins left="0.511811024" right="0.511811024" top="0.78740157499999996" bottom="0.78740157499999996" header="0.31496062000000002" footer="0.31496062000000002"/>
  <pageSetup paperSize="9" scale="25" fitToWidth="0" orientation="landscape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EDILSON (CARRO)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Edilson Rodrigues da Cruz</dc:creator>
  <cp:lastModifiedBy>Edilson Rodrigues da Cruz</cp:lastModifiedBy>
  <dcterms:created xsi:type="dcterms:W3CDTF">2026-09-06T23:51:10Z</dcterms:created>
  <dcterms:modified xsi:type="dcterms:W3CDTF">2026-09-06T23:52:04Z</dcterms:modified>
</cp:coreProperties>
</file>